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3247109cefc35/Documents/"/>
    </mc:Choice>
  </mc:AlternateContent>
  <xr:revisionPtr revIDLastSave="1914" documentId="13_ncr:1_{73C50581-5799-4454-B179-C9774163A0DA}" xr6:coauthVersionLast="47" xr6:coauthVersionMax="47" xr10:uidLastSave="{6AC2C0B6-8A03-45C7-AFDE-103C78CB7166}"/>
  <bookViews>
    <workbookView xWindow="-9430" yWindow="10690" windowWidth="25820" windowHeight="13900" tabRatio="584" firstSheet="1" activeTab="1" xr2:uid="{D377476D-CACF-4AEB-B752-AD48D229629D}"/>
  </bookViews>
  <sheets>
    <sheet name="Sheet1" sheetId="1" state="hidden" r:id="rId1"/>
    <sheet name="INPUT" sheetId="2" r:id="rId2"/>
    <sheet name="2025 - Breakdown" sheetId="4" state="hidden" r:id="rId3"/>
    <sheet name="2025 Summary" sheetId="6" state="hidden" r:id="rId4"/>
    <sheet name="2024 - Breakdown" sheetId="8" state="hidden" r:id="rId5"/>
    <sheet name="2024 Summary" sheetId="3" state="hidden" r:id="rId6"/>
    <sheet name="2026 - Breakdown" sheetId="12" r:id="rId7"/>
    <sheet name="2026 Summary" sheetId="13" r:id="rId8"/>
    <sheet name="YOY Comparison" sheetId="9" r:id="rId9"/>
    <sheet name="Detail1" sheetId="5" state="hidden" r:id="rId10"/>
    <sheet name="SOW Sent" sheetId="10" r:id="rId11"/>
    <sheet name="Detail2" sheetId="11" state="hidden" r:id="rId12"/>
  </sheets>
  <calcPr calcId="191028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2" i="2" l="1"/>
  <c r="N83" i="13"/>
  <c r="AH77" i="2"/>
  <c r="AJ91" i="2" s="1"/>
  <c r="AK91" i="2" s="1"/>
  <c r="AM91" i="2"/>
  <c r="AD88" i="2"/>
  <c r="AG88" i="2"/>
  <c r="N40" i="9"/>
  <c r="N34" i="9"/>
  <c r="N28" i="9"/>
  <c r="AH91" i="2" l="1"/>
  <c r="AF72" i="2"/>
  <c r="AN91" i="2" l="1"/>
  <c r="AB69" i="2" l="1"/>
  <c r="AB72" i="2"/>
  <c r="N63" i="6"/>
  <c r="AA18" i="2" l="1"/>
  <c r="Y22" i="2"/>
  <c r="Z18" i="2"/>
  <c r="M21" i="9" l="1"/>
  <c r="L21" i="9"/>
  <c r="K21" i="9"/>
  <c r="J21" i="9"/>
  <c r="I21" i="9"/>
  <c r="H21" i="9"/>
  <c r="G21" i="9"/>
  <c r="F21" i="9"/>
  <c r="E21" i="9"/>
  <c r="D21" i="9"/>
  <c r="C21" i="9"/>
  <c r="B21" i="9"/>
  <c r="M20" i="9"/>
  <c r="L20" i="9"/>
  <c r="K20" i="9"/>
  <c r="J20" i="9"/>
  <c r="I20" i="9"/>
  <c r="H20" i="9"/>
  <c r="G20" i="9"/>
  <c r="F20" i="9"/>
  <c r="E20" i="9"/>
  <c r="D20" i="9"/>
  <c r="C20" i="9"/>
  <c r="B20" i="9"/>
  <c r="B41" i="9"/>
  <c r="C41" i="9"/>
  <c r="D41" i="9"/>
  <c r="E41" i="9"/>
  <c r="F41" i="9"/>
  <c r="G41" i="9"/>
  <c r="H41" i="9"/>
  <c r="I41" i="9"/>
  <c r="J41" i="9"/>
  <c r="K41" i="9"/>
  <c r="L41" i="9"/>
  <c r="M41" i="9"/>
  <c r="Z44" i="2"/>
  <c r="X22" i="2"/>
  <c r="X18" i="2"/>
  <c r="W69" i="2"/>
  <c r="J43" i="9"/>
  <c r="C42" i="9"/>
  <c r="G42" i="9"/>
  <c r="G43" i="9"/>
  <c r="J42" i="9"/>
  <c r="E43" i="9"/>
  <c r="D42" i="9"/>
  <c r="F42" i="9"/>
  <c r="H42" i="9"/>
  <c r="C43" i="9"/>
  <c r="E42" i="9"/>
  <c r="F43" i="9"/>
  <c r="D43" i="9"/>
  <c r="L42" i="9"/>
  <c r="M43" i="9"/>
  <c r="I43" i="9"/>
  <c r="M42" i="9"/>
  <c r="L43" i="9"/>
  <c r="B42" i="9"/>
  <c r="K43" i="9"/>
  <c r="I42" i="9"/>
  <c r="B43" i="9"/>
  <c r="K42" i="9"/>
  <c r="H43" i="9"/>
  <c r="N41" i="9" l="1"/>
  <c r="C8" i="10"/>
  <c r="V72" i="2"/>
  <c r="V44" i="2"/>
  <c r="U43" i="2" l="1"/>
  <c r="C16" i="10"/>
  <c r="D19" i="9" l="1"/>
  <c r="B19" i="9"/>
  <c r="M19" i="9"/>
  <c r="L19" i="9"/>
  <c r="K19" i="9"/>
  <c r="J19" i="9"/>
  <c r="I19" i="9"/>
  <c r="H19" i="9"/>
  <c r="G19" i="9"/>
  <c r="F19" i="9"/>
  <c r="E19" i="9"/>
  <c r="C19" i="9"/>
  <c r="O64" i="2"/>
  <c r="O15" i="1"/>
  <c r="N15" i="1"/>
  <c r="M15" i="1"/>
  <c r="L15" i="1"/>
  <c r="K15" i="1"/>
  <c r="J15" i="1"/>
  <c r="I15" i="1" l="1"/>
  <c r="N17" i="1" s="1"/>
  <c r="AE88" i="2" l="1"/>
</calcChain>
</file>

<file path=xl/sharedStrings.xml><?xml version="1.0" encoding="utf-8"?>
<sst xmlns="http://schemas.openxmlformats.org/spreadsheetml/2006/main" count="1131" uniqueCount="283">
  <si>
    <t>Client</t>
  </si>
  <si>
    <t>Status</t>
  </si>
  <si>
    <t>Jan.</t>
  </si>
  <si>
    <t>Feb.</t>
  </si>
  <si>
    <t>March</t>
  </si>
  <si>
    <t>April</t>
  </si>
  <si>
    <t xml:space="preserve">May </t>
  </si>
  <si>
    <t xml:space="preserve">June </t>
  </si>
  <si>
    <t>July</t>
  </si>
  <si>
    <t>Aug.</t>
  </si>
  <si>
    <t>Sept.</t>
  </si>
  <si>
    <t>Oct.</t>
  </si>
  <si>
    <t>Nov.</t>
  </si>
  <si>
    <t>Dec.</t>
  </si>
  <si>
    <t>Jan</t>
  </si>
  <si>
    <t>Monroe</t>
  </si>
  <si>
    <t>Invoiced</t>
  </si>
  <si>
    <t>Hersey</t>
  </si>
  <si>
    <t>Forecast</t>
  </si>
  <si>
    <t>Haghani</t>
  </si>
  <si>
    <t>Carroll County Admin/CH</t>
  </si>
  <si>
    <t>GBA Law</t>
  </si>
  <si>
    <t>Helicopter</t>
  </si>
  <si>
    <t>Janus Intern.</t>
  </si>
  <si>
    <t>WGTC</t>
  </si>
  <si>
    <t>Pipeline estimate</t>
  </si>
  <si>
    <t>Legislative Building</t>
  </si>
  <si>
    <t>Mo's Bathroom</t>
  </si>
  <si>
    <t>Margarita's Son's Home</t>
  </si>
  <si>
    <t>Totals</t>
  </si>
  <si>
    <t>Type</t>
  </si>
  <si>
    <t>Active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</si>
  <si>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</si>
  <si>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</si>
  <si>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</si>
  <si>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</si>
  <si>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</si>
  <si>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</si>
  <si>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</si>
  <si>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</si>
  <si>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</si>
  <si>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</si>
  <si>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</si>
  <si>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</si>
  <si>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</si>
  <si>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</si>
  <si>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</si>
  <si>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</si>
  <si>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</si>
  <si>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</si>
  <si>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</si>
  <si>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</si>
  <si>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</si>
  <si>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</si>
  <si>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</si>
  <si>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</si>
  <si>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Azar_Kennesaw/Acworth</t>
  </si>
  <si>
    <t>Residential</t>
  </si>
  <si>
    <t>Yes</t>
  </si>
  <si>
    <t>Azar_McDonough</t>
  </si>
  <si>
    <t>Azar_New Peachtree</t>
  </si>
  <si>
    <t>Commercial</t>
  </si>
  <si>
    <t>Azar_Sturbridge</t>
  </si>
  <si>
    <t>No</t>
  </si>
  <si>
    <t>Azar_Yalda</t>
  </si>
  <si>
    <t>Baulder</t>
  </si>
  <si>
    <t>C. Keheley (Bahamas)</t>
  </si>
  <si>
    <t>COE__LT Gov Suite</t>
  </si>
  <si>
    <t>COE_Agriculture Building</t>
  </si>
  <si>
    <t>COE_Calhoun</t>
  </si>
  <si>
    <t>COE_Carroll County Admin</t>
  </si>
  <si>
    <t>COE_Carroll County Conference</t>
  </si>
  <si>
    <t>COE_Carroll County Courthouse</t>
  </si>
  <si>
    <t>COE_Danielle Stanley-Phi Mu</t>
  </si>
  <si>
    <t>Furniture</t>
  </si>
  <si>
    <t>Follow Up</t>
  </si>
  <si>
    <t>COE_DNR</t>
  </si>
  <si>
    <t>COE_Douglas County</t>
  </si>
  <si>
    <t>COE_GBA Law</t>
  </si>
  <si>
    <t>COE_GBA Patrol Post</t>
  </si>
  <si>
    <t>COE_Helicopter Hangar</t>
  </si>
  <si>
    <t>COE_House Clerk</t>
  </si>
  <si>
    <t>COE_InfraMetals</t>
  </si>
  <si>
    <t>COE_Janus Intern.</t>
  </si>
  <si>
    <t>COE_Legislative Building</t>
  </si>
  <si>
    <t>COE_Nathan Deal Judicial</t>
  </si>
  <si>
    <t>COE_Powder Springs</t>
  </si>
  <si>
    <t>COE_Silvey Office</t>
  </si>
  <si>
    <t>COE_Stanley_Williams PR</t>
  </si>
  <si>
    <t>COE_Veteran Affairs</t>
  </si>
  <si>
    <t>COE_WGTC  Student Affairs</t>
  </si>
  <si>
    <t>COE_WGTC Murphy</t>
  </si>
  <si>
    <t>COEC_TipTop Poultry</t>
  </si>
  <si>
    <t>COEC_SMI</t>
  </si>
  <si>
    <t>COEC_UES Engineering</t>
  </si>
  <si>
    <t>Commission (Rugs/Shades)</t>
  </si>
  <si>
    <t>Dantzler_Brodsky</t>
  </si>
  <si>
    <t>Dantzler_Fleet Landing</t>
  </si>
  <si>
    <t>Dantzler_Kelli Marsh</t>
  </si>
  <si>
    <t>Dantzler_Nick Spears Residence</t>
  </si>
  <si>
    <t>Dantzler_Thompson</t>
  </si>
  <si>
    <t>Dantzler_Yang</t>
  </si>
  <si>
    <t>Focus Design Group_Horizon</t>
  </si>
  <si>
    <t>Garnet_Frank &amp; Cindy Cyr</t>
  </si>
  <si>
    <t>Katz_Fletcher</t>
  </si>
  <si>
    <t>Krusing</t>
  </si>
  <si>
    <t>Reddy Wang</t>
  </si>
  <si>
    <t>Seeley</t>
  </si>
  <si>
    <t>Smart Interior Group</t>
  </si>
  <si>
    <t>COE_GA Capital Reno</t>
  </si>
  <si>
    <t>Danztler_Spanish Point</t>
  </si>
  <si>
    <t>Count of Jan-25</t>
  </si>
  <si>
    <t>Count of Feb-25</t>
  </si>
  <si>
    <t>Count of Mar-25</t>
  </si>
  <si>
    <t>Count of Apr-25</t>
  </si>
  <si>
    <t>Count of May-25</t>
  </si>
  <si>
    <t>Count of Jun-25</t>
  </si>
  <si>
    <t>Count of Jul-25</t>
  </si>
  <si>
    <t>Count of Aug-25</t>
  </si>
  <si>
    <t>Count of Sep-25</t>
  </si>
  <si>
    <t>Count of Oct-25</t>
  </si>
  <si>
    <t>Count of Nov-25</t>
  </si>
  <si>
    <t>Count of Dec-25</t>
  </si>
  <si>
    <t>Grand Total</t>
  </si>
  <si>
    <t>Sum of Jan-25</t>
  </si>
  <si>
    <t>Sum of Feb-25</t>
  </si>
  <si>
    <t>Sum of Mar-25</t>
  </si>
  <si>
    <t>Sum of Apr-25</t>
  </si>
  <si>
    <t>Sum of May-25</t>
  </si>
  <si>
    <t>Sum of Jun-25</t>
  </si>
  <si>
    <t>Sum of Jul-25</t>
  </si>
  <si>
    <t>Sum of Aug-25</t>
  </si>
  <si>
    <t>Sum of Sep-25</t>
  </si>
  <si>
    <t>Sum of Oct-25</t>
  </si>
  <si>
    <t>Sum of Nov-25</t>
  </si>
  <si>
    <t>Sum of Dec-25</t>
  </si>
  <si>
    <t>(All)</t>
  </si>
  <si>
    <t>Count of Jan-24</t>
  </si>
  <si>
    <t>Count of Feb-24</t>
  </si>
  <si>
    <t>Count of Mar-24</t>
  </si>
  <si>
    <t>Count of Apr-24</t>
  </si>
  <si>
    <t>Count of May-24</t>
  </si>
  <si>
    <t>Count of Jun-24</t>
  </si>
  <si>
    <t>Count of Jul-24</t>
  </si>
  <si>
    <t>Count of Aug-24</t>
  </si>
  <si>
    <t>Count of Sep-24</t>
  </si>
  <si>
    <t>Count of Oct-24</t>
  </si>
  <si>
    <t>Count of Nov-24</t>
  </si>
  <si>
    <t>Count of Dec-24</t>
  </si>
  <si>
    <t>Sum of Jan-24</t>
  </si>
  <si>
    <t>Sum of Feb-24</t>
  </si>
  <si>
    <t>Sum of Mar-24</t>
  </si>
  <si>
    <t>Sum of Apr-24</t>
  </si>
  <si>
    <t>Sum of May-24</t>
  </si>
  <si>
    <t>Sum of Jun-24</t>
  </si>
  <si>
    <t>Sum of Jul-24</t>
  </si>
  <si>
    <t>Sum of Aug-24</t>
  </si>
  <si>
    <t>Sum of Sep-24</t>
  </si>
  <si>
    <t>Sum of Oct-24</t>
  </si>
  <si>
    <t>Sum of Nov-24</t>
  </si>
  <si>
    <t>Sum of Dec-24</t>
  </si>
  <si>
    <t>2024 vs 2025</t>
  </si>
  <si>
    <t>Details for Sum of Nov-24 - Type: Commercial (+)</t>
  </si>
  <si>
    <t>GBA Patrol Post</t>
  </si>
  <si>
    <t>GA State Capital_LT Gov</t>
  </si>
  <si>
    <t>Nathan Deal Judicial</t>
  </si>
  <si>
    <t>Silvey Office</t>
  </si>
  <si>
    <t>Nick Spears Residence</t>
  </si>
  <si>
    <t>TurnKey Homes</t>
  </si>
  <si>
    <t>GA State Capital_House Clerk</t>
  </si>
  <si>
    <t>DATE</t>
  </si>
  <si>
    <t>NAME</t>
  </si>
  <si>
    <t>FEE</t>
  </si>
  <si>
    <t>NOTES</t>
  </si>
  <si>
    <t>03.18.25</t>
  </si>
  <si>
    <t>Marshall and Debbie Bowen</t>
  </si>
  <si>
    <t>Requested samples of CDs; Followed up 05.05.25</t>
  </si>
  <si>
    <t>Adenike Ojo</t>
  </si>
  <si>
    <t>No response; Followed up and no response</t>
  </si>
  <si>
    <t>03.21.25</t>
  </si>
  <si>
    <t>Duval Finest Countertops</t>
  </si>
  <si>
    <t>Responded 03.21 and waiting for approval</t>
  </si>
  <si>
    <t>Jimmy Wilson</t>
  </si>
  <si>
    <t>Will get back with me later; Doesn’t own home yet; firefigher, will not spend the $</t>
  </si>
  <si>
    <t>04.24.25</t>
  </si>
  <si>
    <t>Fletcher</t>
  </si>
  <si>
    <t>ON HOLD</t>
  </si>
  <si>
    <t>4.24.25</t>
  </si>
  <si>
    <t>Michaels</t>
  </si>
  <si>
    <t>Followed up but no response</t>
  </si>
  <si>
    <t>07.11.25</t>
  </si>
  <si>
    <t>Loehr</t>
  </si>
  <si>
    <t xml:space="preserve">No response </t>
  </si>
  <si>
    <t>07.18.25</t>
  </si>
  <si>
    <t>Dantzler Fleet</t>
  </si>
  <si>
    <t>Dantzler Herron House of Coffee</t>
  </si>
  <si>
    <t>budget too low for scope, revised, and then may go hourly</t>
  </si>
  <si>
    <t>Details for Sum of Dec-25 - Type: Commercial (+)</t>
  </si>
  <si>
    <t>Dantzler_Bronksky</t>
  </si>
  <si>
    <t>COEC MARGA</t>
  </si>
  <si>
    <t>Dantzler_Heron Realty &amp; Coffee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</si>
  <si>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</si>
  <si>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</si>
  <si>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</si>
  <si>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</si>
  <si>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</si>
  <si>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</si>
  <si>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</si>
  <si>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</si>
  <si>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</si>
  <si>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</si>
  <si>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</si>
  <si>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</si>
  <si>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Count of Jan-26</t>
  </si>
  <si>
    <t>Count of Feb-26</t>
  </si>
  <si>
    <t>Count of Mar-26</t>
  </si>
  <si>
    <t>Count of Apr-26</t>
  </si>
  <si>
    <t>Count of May-26</t>
  </si>
  <si>
    <t>Count of Jun-26</t>
  </si>
  <si>
    <t>Count of Jul-26</t>
  </si>
  <si>
    <t>Count of Aug-26</t>
  </si>
  <si>
    <t>Count of Sep-26</t>
  </si>
  <si>
    <t>Count of Oct-26</t>
  </si>
  <si>
    <t>Count of Nov-26</t>
  </si>
  <si>
    <t>Count of Dec-26</t>
  </si>
  <si>
    <t>Sum of Jan-26</t>
  </si>
  <si>
    <t>Sum of Feb-26</t>
  </si>
  <si>
    <t>Sum of Dec-26</t>
  </si>
  <si>
    <t>Sum of Nov-26</t>
  </si>
  <si>
    <t>Sum of Oct-26</t>
  </si>
  <si>
    <t>Sum of Sep-26</t>
  </si>
  <si>
    <t>Sum of Aug-26</t>
  </si>
  <si>
    <t>Sum of Mar-26</t>
  </si>
  <si>
    <t>Sum of Apr-26</t>
  </si>
  <si>
    <t>Sum of May-26</t>
  </si>
  <si>
    <t>Sum of Jun-26</t>
  </si>
  <si>
    <t>Sum of Jul-26</t>
  </si>
  <si>
    <t>2025 vs 2026</t>
  </si>
  <si>
    <t>2024 vs 2026</t>
  </si>
  <si>
    <t>COE_ABS</t>
  </si>
  <si>
    <t>COE_Mens Prison</t>
  </si>
  <si>
    <t>Smart_BOMA Monarch</t>
  </si>
  <si>
    <t>(Monroe)_Ingram</t>
  </si>
  <si>
    <t>(Dantzler)_Kelli Marsh</t>
  </si>
  <si>
    <t>Genners (Cyr)</t>
  </si>
  <si>
    <t>Wallace (Cyr)</t>
  </si>
  <si>
    <t>Frank &amp; Cindy Cyr (Garnet)</t>
  </si>
  <si>
    <t>COE_Capital Suites</t>
  </si>
  <si>
    <t>Yang (Dantzler)</t>
  </si>
  <si>
    <t>Thompson (Dantzler)</t>
  </si>
  <si>
    <t>Spears, Nick (Dantzler)</t>
  </si>
  <si>
    <t xml:space="preserve"> Cyr, Austin</t>
  </si>
  <si>
    <t>Duchausee, Garnet</t>
  </si>
  <si>
    <t>Mckinney, Maureen (Remodel Jax)</t>
  </si>
  <si>
    <t>Terry, Kit (Dantzler)</t>
  </si>
  <si>
    <t>Ulvi (Dantzler)</t>
  </si>
  <si>
    <t>Dantzler Ulvi (Bill Dantzler)</t>
  </si>
  <si>
    <t>Bennett (Dantzler)</t>
  </si>
  <si>
    <t>Chadwick (Generation Homes)</t>
  </si>
  <si>
    <t>COEC_GBA Swing Space</t>
  </si>
  <si>
    <t>COEC_UES Norross Engineering</t>
  </si>
  <si>
    <t>01.15.26</t>
  </si>
  <si>
    <t>Dewitt</t>
  </si>
  <si>
    <t xml:space="preserve">Pay 30% </t>
  </si>
  <si>
    <t>Hayes (Dantzler)</t>
  </si>
  <si>
    <t xml:space="preserve">PAID </t>
  </si>
  <si>
    <t>Bethany Primitive Baptist Church</t>
  </si>
  <si>
    <t>COE_Furniture Commisions</t>
  </si>
  <si>
    <t>COE_SouthWire</t>
  </si>
  <si>
    <t>Rebekkah Heafer (Gen Homes)</t>
  </si>
  <si>
    <t>Rebecca Livingston (Dantzler)</t>
  </si>
  <si>
    <t xml:space="preserve">Ulivi </t>
  </si>
  <si>
    <t>Melissa Strumlauf (McKinney)</t>
  </si>
  <si>
    <t>Rose  Lickenbrock (Realtor)</t>
  </si>
  <si>
    <t>Sheryn  (Dantzler)</t>
  </si>
  <si>
    <t>COE_Carroll County Conference/ Admin</t>
  </si>
  <si>
    <t>(blank)</t>
  </si>
  <si>
    <t>Commission (Rugs,Shades,Tile, Cabinetry)</t>
  </si>
  <si>
    <t>Sheryn  Lobrano(Dantzler)</t>
  </si>
  <si>
    <t>Parker Davis</t>
  </si>
  <si>
    <t>COEC_Westbrook Christian Media Center</t>
  </si>
  <si>
    <t>Follow up on Yang, Strumlauf</t>
  </si>
  <si>
    <t>Jeff Paciolla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</si>
</sst>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"/>
    <numFmt numFmtId="165" formatCode="_([$$-409]* #,##0_);_([$$-409]* \(#,##0\);_([$$-409]* &quot;-&quot;??_);_(@_)"/>
    <numFmt numFmtId="166" formatCode="_([$$-409]* #,##0.00_);_([$$-409]* \(#,##0.00\);_([$$-409]* &quot;-&quot;??_);_(@_)"/>
    <numFmt numFmtId="167" formatCode="&quot;$&quot;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3" tint="0.499984740745262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10"/>
      <color theme="3" tint="0.249977111117893"/>
      <name val="Aptos Narrow"/>
      <family val="2"/>
      <scheme val="minor"/>
    </font>
    <font>
      <sz val="10"/>
      <color theme="7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44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44" fontId="3" fillId="0" borderId="0" xfId="1" applyFont="1"/>
    <xf numFmtId="44" fontId="2" fillId="0" borderId="0" xfId="1" applyFont="1" applyAlignment="1">
      <alignment horizontal="right"/>
    </xf>
    <xf numFmtId="0" fontId="0" fillId="0" borderId="0" xfId="0" pivotButton="1"/>
    <xf numFmtId="164" fontId="4" fillId="0" borderId="0" xfId="0" applyNumberFormat="1" applyFont="1"/>
    <xf numFmtId="164" fontId="5" fillId="0" borderId="0" xfId="0" applyNumberFormat="1" applyFont="1"/>
    <xf numFmtId="164" fontId="5" fillId="0" borderId="0" xfId="0" applyNumberFormat="1" applyFont="1" applyAlignment="1">
      <alignment horizontal="left"/>
    </xf>
    <xf numFmtId="164" fontId="5" fillId="0" borderId="0" xfId="1" applyNumberFormat="1" applyFont="1"/>
    <xf numFmtId="164" fontId="6" fillId="0" borderId="0" xfId="1" applyNumberFormat="1" applyFont="1"/>
    <xf numFmtId="165" fontId="0" fillId="0" borderId="0" xfId="0" pivotButton="1" applyNumberFormat="1"/>
    <xf numFmtId="165" fontId="0" fillId="0" borderId="0" xfId="0" applyNumberFormat="1"/>
    <xf numFmtId="164" fontId="7" fillId="0" borderId="0" xfId="1" applyNumberFormat="1" applyFont="1"/>
    <xf numFmtId="0" fontId="0" fillId="0" borderId="1" xfId="0" applyBorder="1"/>
    <xf numFmtId="165" fontId="0" fillId="0" borderId="1" xfId="0" applyNumberFormat="1" applyBorder="1"/>
    <xf numFmtId="0" fontId="0" fillId="2" borderId="1" xfId="0" applyFill="1" applyBorder="1"/>
    <xf numFmtId="165" fontId="0" fillId="2" borderId="1" xfId="0" applyNumberFormat="1" applyFill="1" applyBorder="1"/>
    <xf numFmtId="164" fontId="5" fillId="0" borderId="0" xfId="1" applyNumberFormat="1" applyFont="1" applyAlignment="1">
      <alignment horizontal="left"/>
    </xf>
    <xf numFmtId="167" fontId="5" fillId="0" borderId="0" xfId="0" applyNumberFormat="1" applyFont="1"/>
    <xf numFmtId="167" fontId="5" fillId="0" borderId="0" xfId="1" applyNumberFormat="1" applyFont="1"/>
    <xf numFmtId="164" fontId="8" fillId="0" borderId="0" xfId="1" applyNumberFormat="1" applyFont="1"/>
    <xf numFmtId="164" fontId="8" fillId="0" borderId="0" xfId="0" applyNumberFormat="1" applyFont="1"/>
    <xf numFmtId="164" fontId="7" fillId="0" borderId="0" xfId="0" applyNumberFormat="1" applyFont="1"/>
    <xf numFmtId="167" fontId="7" fillId="0" borderId="0" xfId="1" applyNumberFormat="1" applyFont="1"/>
    <xf numFmtId="0" fontId="9" fillId="0" borderId="0" xfId="0" applyFont="1"/>
    <xf numFmtId="167" fontId="7" fillId="0" borderId="0" xfId="0" applyNumberFormat="1" applyFont="1"/>
    <xf numFmtId="44" fontId="9" fillId="0" borderId="0" xfId="1" applyFont="1"/>
    <xf numFmtId="167" fontId="8" fillId="0" borderId="0" xfId="0" applyNumberFormat="1" applyFont="1"/>
    <xf numFmtId="164" fontId="4" fillId="0" borderId="0" xfId="0" applyNumberFormat="1" applyFont="1" applyAlignment="1">
      <alignment horizontal="left"/>
    </xf>
    <xf numFmtId="49" fontId="4" fillId="0" borderId="0" xfId="0" applyNumberFormat="1" applyFont="1"/>
    <xf numFmtId="49" fontId="4" fillId="0" borderId="0" xfId="0" applyNumberFormat="1" applyFont="1" applyAlignment="1">
      <alignment horizontal="left"/>
    </xf>
    <xf numFmtId="49" fontId="5" fillId="0" borderId="0" xfId="0" applyNumberFormat="1" applyFont="1"/>
    <xf numFmtId="49" fontId="5" fillId="3" borderId="0" xfId="0" applyNumberFormat="1" applyFont="1" applyFill="1"/>
    <xf numFmtId="0" fontId="0" fillId="4" borderId="1" xfId="0" applyFill="1" applyBorder="1"/>
    <xf numFmtId="0" fontId="2" fillId="7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2" fillId="6" borderId="8" xfId="0" applyFont="1" applyFill="1" applyBorder="1"/>
    <xf numFmtId="0" fontId="2" fillId="6" borderId="9" xfId="0" applyFont="1" applyFill="1" applyBorder="1"/>
    <xf numFmtId="0" fontId="2" fillId="6" borderId="10" xfId="0" applyFont="1" applyFill="1" applyBorder="1"/>
    <xf numFmtId="165" fontId="0" fillId="4" borderId="1" xfId="0" applyNumberFormat="1" applyFill="1" applyBorder="1"/>
    <xf numFmtId="44" fontId="0" fillId="7" borderId="2" xfId="1" applyFont="1" applyFill="1" applyBorder="1"/>
    <xf numFmtId="166" fontId="2" fillId="5" borderId="4" xfId="0" applyNumberFormat="1" applyFont="1" applyFill="1" applyBorder="1"/>
    <xf numFmtId="166" fontId="2" fillId="5" borderId="5" xfId="0" applyNumberFormat="1" applyFont="1" applyFill="1" applyBorder="1"/>
    <xf numFmtId="44" fontId="0" fillId="7" borderId="7" xfId="1" applyFont="1" applyFill="1" applyBorder="1"/>
    <xf numFmtId="44" fontId="0" fillId="6" borderId="9" xfId="1" applyFont="1" applyFill="1" applyBorder="1"/>
    <xf numFmtId="44" fontId="0" fillId="6" borderId="10" xfId="1" applyFont="1" applyFill="1" applyBorder="1"/>
    <xf numFmtId="164" fontId="11" fillId="0" borderId="0" xfId="0" applyNumberFormat="1" applyFont="1"/>
    <xf numFmtId="164" fontId="11" fillId="4" borderId="0" xfId="0" applyNumberFormat="1" applyFont="1" applyFill="1"/>
    <xf numFmtId="164" fontId="5" fillId="4" borderId="0" xfId="0" applyNumberFormat="1" applyFont="1" applyFill="1"/>
    <xf numFmtId="164" fontId="0" fillId="0" borderId="0" xfId="0" applyNumberFormat="1"/>
    <xf numFmtId="164" fontId="12" fillId="0" borderId="0" xfId="0" applyNumberFormat="1" applyFont="1"/>
    <xf numFmtId="165" fontId="0" fillId="4" borderId="0" xfId="0" applyNumberFormat="1" applyFill="1"/>
    <xf numFmtId="164" fontId="13" fillId="0" borderId="0" xfId="0" applyNumberFormat="1" applyFont="1"/>
    <xf numFmtId="167" fontId="11" fillId="0" borderId="0" xfId="0" applyNumberFormat="1" applyFont="1"/>
    <xf numFmtId="49" fontId="5" fillId="3" borderId="0" xfId="0" applyNumberFormat="1" applyFont="1" applyFill="1" applyAlignment="1">
      <alignment horizontal="center"/>
    </xf>
    <xf numFmtId="0" fontId="0" fillId="0" borderId="1" xfId="0" pivotButton="1" applyBorder="1"/>
    <xf numFmtId="164" fontId="8" fillId="0" borderId="0" xfId="0" applyNumberFormat="1" applyFont="1" applyFill="1"/>
  </cellXfs>
  <cellStyles count="2">
    <cellStyle name="Currency" xfId="1" builtinId="4"/>
    <cellStyle name="Normal" xfId="0" builtinId="0"/>
  </cellStyles>
  <dxfs count="144">
    <dxf>
      <alignment horizontal="general"/>
    </dxf>
    <dxf>
      <alignment horizontal="general"/>
    </dxf>
    <dxf>
      <alignment horizontal="general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alignment horizontal="general"/>
    </dxf>
    <dxf>
      <alignment horizontal="general"/>
    </dxf>
    <dxf>
      <alignment horizontal="general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alignment horizontal="general"/>
    </dxf>
    <dxf>
      <alignment horizontal="general"/>
    </dxf>
    <dxf>
      <alignment horizontal="general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general"/>
    </dxf>
    <dxf>
      <alignment horizontal="general"/>
    </dxf>
    <dxf>
      <alignment horizontal="general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general"/>
    </dxf>
    <dxf>
      <alignment horizontal="general"/>
    </dxf>
    <dxf>
      <alignment horizontal="general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general"/>
    </dxf>
    <dxf>
      <alignment horizontal="general"/>
    </dxf>
    <dxf>
      <alignment horizontal="general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bgColor rgb="FFFFFF00"/>
        </patternFill>
      </fill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alignment wrapText="0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y Stanford Oliveti" refreshedDate="46203.900516550922" createdVersion="8" refreshedVersion="8" minRefreshableVersion="3" recordCount="83" xr:uid="{D05BE228-C2CC-4223-8622-2804ADB58E2B}">
  <cacheSource type="worksheet">
    <worksheetSource name="Table1"/>
  </cacheSource>
  <cacheFields count="39">
    <cacheField name="Client" numFmtId="164">
      <sharedItems containsBlank="1" count="140">
        <s v=" Cyr, Austin"/>
        <s v="Azar_Kennesaw/Acworth"/>
        <s v="Azar_McDonough"/>
        <s v="Azar_New Peachtree"/>
        <s v="Azar_Sturbridge"/>
        <s v="Azar_Yalda"/>
        <s v="Baulder"/>
        <s v="C. Keheley (Bahamas)"/>
        <s v="COE__LT Gov Suite"/>
        <s v="COE_ABS"/>
        <s v="COE_Agriculture Building"/>
        <s v="COE_Calhoun"/>
        <s v="COE_Capital Suites"/>
        <s v="COE_Carroll County Admin"/>
        <s v="COE_Carroll County Courthouse"/>
        <s v="COE_Danielle Stanley-Phi Mu"/>
        <s v="COE_Carroll County Conference/ Admin"/>
        <s v="COE_DNR"/>
        <s v="COE_Douglas County"/>
        <s v="COE_GA Capital Reno"/>
        <s v="COE_GBA Law"/>
        <s v="COE_GBA Patrol Post"/>
        <s v="COE_Helicopter Hangar"/>
        <s v="COE_House Clerk"/>
        <s v="COE_InfraMetals"/>
        <s v="COE_Janus Intern."/>
        <s v="COE_Legislative Building"/>
        <s v="COE_Nathan Deal Judicial"/>
        <s v="COE_Powder Springs"/>
        <s v="COE_Silvey Office"/>
        <s v="COE_Stanley_Williams PR"/>
        <s v="COE_Veteran Affairs"/>
        <s v="COE_WGTC  Student Affairs"/>
        <s v="COE_WGTC Murphy"/>
        <s v="COE_Mens Prison"/>
        <s v="COE_SouthWire"/>
        <s v="COEC_SMI"/>
        <s v="COEC_TipTop Poultry"/>
        <s v="Dantzler_Brodsky"/>
        <s v="Dantzler_Fleet Landing"/>
        <s v="(Dantzler)_Kelli Marsh"/>
        <s v="COEC_UES Norross Engineering"/>
        <s v="Commission (Rugs,Shades,Tile, Cabinetry)"/>
        <s v="Dantzler Ulvi (Bill Dantzler)"/>
        <s v="Danztler_Spanish Point"/>
        <s v="Focus Design Group_Horizon"/>
        <s v="Frank &amp; Cindy Cyr (Garnet)"/>
        <s v="Haghani"/>
        <s v="Hersey"/>
        <s v="Katz_Fletcher"/>
        <s v="Duchausee, Garnet"/>
        <s v="Genners (Cyr)"/>
        <s v="Reddy Wang"/>
        <s v="Seeley"/>
        <s v="Smart Interior Group"/>
        <s v="Smart_BOMA Monarch"/>
        <s v="Krusing"/>
        <s v="(Monroe)_Ingram"/>
        <s v="Mckinney, Maureen (Remodel Jax)"/>
        <s v="Monroe"/>
        <s v="Spears, Nick (Dantzler)"/>
        <s v="Terry, Kit (Dantzler)"/>
        <s v="Ulvi (Dantzler)"/>
        <s v="Thompson (Dantzler)"/>
        <s v="Ulivi "/>
        <s v="Wallace (Cyr)"/>
        <s v="Yang (Dantzler)"/>
        <s v="Bennett (Dantzler)"/>
        <s v="Chadwick (Generation Homes)"/>
        <s v="COEC_GBA Swing Space"/>
        <s v="Hayes (Dantzler)"/>
        <s v="Bethany Primitive Baptist Church"/>
        <s v="COE_Furniture Commisions"/>
        <s v="Rebekkah Heafer (Gen Homes)"/>
        <s v="Rebecca Livingston (Dantzler)"/>
        <s v="Rose  Lickenbrock (Realtor)"/>
        <s v="Melissa Strumlauf (McKinney)"/>
        <m/>
        <s v="Sheryn  (Dantzler)"/>
        <s v="Commission (Rugs,Shades,Tile, Cabietry)" u="1"/>
        <s v="COE_Carroll County Conference" u="1"/>
        <s v="Commission (Rugs,Shades,etc)" u="1"/>
        <s v="Ulvi (Dantzler)_Bill Client" u="1"/>
        <s v="COE_SmartWire" u="1"/>
        <s v="COEC_UES Engineering" u="1"/>
        <s v="Austin Cyr" u="1"/>
        <s v="Commission (Rugs/Shades)" u="1"/>
        <s v="(Dantzler)_Nick Spears Residence" u="1"/>
        <s v="(Dantzler)_Thompson" u="1"/>
        <s v="(Dantzler)_Yang" u="1"/>
        <s v="Garnet Duchausee" u="1"/>
        <s v="Maureen Mckinney (Remodel Jax)" u="1"/>
        <s v="(Garnet)_Frank &amp; Cindy Cyr" u="1"/>
        <s v="(Cyr)_Wallace " u="1"/>
        <s v="Dantzler_Kelli Marsh" u="1"/>
        <s v="Dantzler_Nick Spears Residence" u="1"/>
        <s v="Dantzler_Thompson" u="1"/>
        <s v="Dantzler_Yang" u="1"/>
        <s v="Garnet_Frank &amp; Cindy Cyr" u="1"/>
        <s v="Cyr_Wallace " u="1"/>
        <s v="Monroe_Ingram" u="1"/>
        <s v="Artrium_Kinsel  Permit Set" u="1"/>
        <s v="Sharon Ingram" u="1"/>
        <s v="COEC MARGA" u="1"/>
        <s v="Dantzler_Bronksky" u="1"/>
        <s v="Dantzler_Heron Realty &amp; Coffee" u="1"/>
        <s v="Dantzler_" u="1"/>
        <s v="Dantzler" u="1"/>
        <s v="Kelli Marsh" u="1"/>
        <s v="Focus Design Group" u="1"/>
        <s v="Commission " u="1"/>
        <s v="All About Blinds_Commision" u="1"/>
        <s v="Fletcher" u="1"/>
        <s v="Frank &amp; Cindy Cyr" u="1"/>
        <s v="Nick Spears Residence" u="1"/>
        <s v="COE_Douglas" u="1"/>
        <s v="COE_Student Affairs" u="1"/>
        <s v="COE_WGTC" u="1"/>
        <s v="Jimmy Wilson" u="1"/>
        <s v="COE_Carroll County Admin " u="1"/>
        <s v="Nikki ?????" u="1"/>
        <s v="Duval Finest Countertops" u="1"/>
        <s v="COE_Carroll County Admin/CH" u="1"/>
        <s v="Azar_Kennesaw" u="1"/>
        <s v="Carroll County Admin/CH" u="1"/>
        <s v="GA State Capital_LT Gov" u="1"/>
        <s v="GBA Law" u="1"/>
        <s v="GBA Patrol Post" u="1"/>
        <s v="Helicopter" u="1"/>
        <s v="Janus Intern." u="1"/>
        <s v="Legislative Building" u="1"/>
        <s v="DNR" u="1"/>
        <s v="Nathan Deal Judicial" u="1"/>
        <s v="Silvey Office" u="1"/>
        <s v="WGTC" u="1"/>
        <s v="GA State Capital_House Clerk" u="1"/>
        <s v="Sturbridge_Azar Construction" u="1"/>
        <s v="Margarita's Son's Home" u="1"/>
        <s v="Mo's Bathroom" u="1"/>
        <s v="TurnKey Homes" u="1"/>
      </sharedItems>
    </cacheField>
    <cacheField name="Type" numFmtId="164">
      <sharedItems containsBlank="1" count="4">
        <s v="Residential"/>
        <s v="Commercial"/>
        <s v="Furniture"/>
        <m/>
      </sharedItems>
    </cacheField>
    <cacheField name="Active" numFmtId="164">
      <sharedItems containsBlank="1"/>
    </cacheField>
    <cacheField name="Jan-24" numFmtId="164">
      <sharedItems containsString="0" containsBlank="1" containsNumber="1" containsInteger="1" minValue="940" maxValue="940"/>
    </cacheField>
    <cacheField name="Feb-24" numFmtId="164">
      <sharedItems containsString="0" containsBlank="1" containsNumber="1" containsInteger="1" minValue="160" maxValue="900"/>
    </cacheField>
    <cacheField name="Mar-24" numFmtId="164">
      <sharedItems containsString="0" containsBlank="1" containsNumber="1" containsInteger="1" minValue="300" maxValue="6200"/>
    </cacheField>
    <cacheField name="Apr-24" numFmtId="164">
      <sharedItems containsNonDate="0" containsString="0" containsBlank="1"/>
    </cacheField>
    <cacheField name="May-24" numFmtId="164">
      <sharedItems containsString="0" containsBlank="1" containsNumber="1" containsInteger="1" minValue="780" maxValue="11050"/>
    </cacheField>
    <cacheField name="Jun-24" numFmtId="164">
      <sharedItems containsString="0" containsBlank="1" containsNumber="1" containsInteger="1" minValue="300" maxValue="550"/>
    </cacheField>
    <cacheField name="Jul-24" numFmtId="164">
      <sharedItems containsString="0" containsBlank="1" containsNumber="1" containsInteger="1" minValue="270" maxValue="270"/>
    </cacheField>
    <cacheField name="Aug-24" numFmtId="164">
      <sharedItems containsString="0" containsBlank="1" containsNumber="1" containsInteger="1" minValue="550" maxValue="2325"/>
    </cacheField>
    <cacheField name="Sep-24" numFmtId="164">
      <sharedItems containsString="0" containsBlank="1" containsNumber="1" containsInteger="1" minValue="1250" maxValue="1980"/>
    </cacheField>
    <cacheField name="Oct-24" numFmtId="164">
      <sharedItems containsNonDate="0" containsString="0" containsBlank="1"/>
    </cacheField>
    <cacheField name="Nov-24" numFmtId="164">
      <sharedItems containsString="0" containsBlank="1" containsNumber="1" containsInteger="1" minValue="1250" maxValue="1740"/>
    </cacheField>
    <cacheField name="Dec-24" numFmtId="164">
      <sharedItems containsString="0" containsBlank="1" containsNumber="1" minValue="640.00000000000011" maxValue="640.00000000000011"/>
    </cacheField>
    <cacheField name="Jan-25" numFmtId="164">
      <sharedItems containsString="0" containsBlank="1" containsNumber="1" containsInteger="1" minValue="640" maxValue="3700"/>
    </cacheField>
    <cacheField name="Feb-25" numFmtId="164">
      <sharedItems containsString="0" containsBlank="1" containsNumber="1" containsInteger="1" minValue="1160" maxValue="1160"/>
    </cacheField>
    <cacheField name="Mar-25" numFmtId="164">
      <sharedItems containsString="0" containsBlank="1" containsNumber="1" containsInteger="1" minValue="160" maxValue="4140"/>
    </cacheField>
    <cacheField name="Apr-25" numFmtId="0">
      <sharedItems containsString="0" containsBlank="1" containsNumber="1" minValue="240" maxValue="3030"/>
    </cacheField>
    <cacheField name="May-25" numFmtId="0">
      <sharedItems containsBlank="1" containsMixedTypes="1" containsNumber="1" minValue="425" maxValue="8220"/>
    </cacheField>
    <cacheField name="Jun-25" numFmtId="0">
      <sharedItems containsString="0" containsBlank="1" containsNumber="1" containsInteger="1" minValue="425" maxValue="1260"/>
    </cacheField>
    <cacheField name="Jul-25" numFmtId="0">
      <sharedItems containsString="0" containsBlank="1" containsNumber="1" minValue="660" maxValue="3500"/>
    </cacheField>
    <cacheField name="Aug-25" numFmtId="0">
      <sharedItems containsString="0" containsBlank="1" containsNumber="1" minValue="750" maxValue="5673.56"/>
    </cacheField>
    <cacheField name="Sep-25" numFmtId="0">
      <sharedItems containsString="0" containsBlank="1" containsNumber="1" minValue="750" maxValue="5960.38"/>
    </cacheField>
    <cacheField name="Oct-25" numFmtId="0">
      <sharedItems containsString="0" containsBlank="1" containsNumber="1" minValue="1400" maxValue="2352.88"/>
    </cacheField>
    <cacheField name="Nov-25" numFmtId="0">
      <sharedItems containsString="0" containsBlank="1" containsNumber="1" minValue="500" maxValue="2121.5399999999995"/>
    </cacheField>
    <cacheField name="Dec-25" numFmtId="0">
      <sharedItems containsString="0" containsBlank="1" containsNumber="1" minValue="500" maxValue="6114"/>
    </cacheField>
    <cacheField name="Jan-26" numFmtId="0">
      <sharedItems containsString="0" containsBlank="1" containsNumber="1" minValue="375" maxValue="9450"/>
    </cacheField>
    <cacheField name="Feb-26" numFmtId="0">
      <sharedItems containsString="0" containsBlank="1" containsNumber="1" minValue="225" maxValue="1725"/>
    </cacheField>
    <cacheField name="Mar-26" numFmtId="0">
      <sharedItems containsString="0" containsBlank="1" containsNumber="1" minValue="210" maxValue="3200"/>
    </cacheField>
    <cacheField name="Apr-26" numFmtId="0">
      <sharedItems containsString="0" containsBlank="1" containsNumber="1" minValue="500" maxValue="9390"/>
    </cacheField>
    <cacheField name="May-26" numFmtId="0">
      <sharedItems containsString="0" containsBlank="1" containsNumber="1" minValue="1312.5" maxValue="3500"/>
    </cacheField>
    <cacheField name="Jun-26" numFmtId="0">
      <sharedItems containsString="0" containsBlank="1" containsNumber="1" minValue="462" maxValue="14921.23"/>
    </cacheField>
    <cacheField name="Jul-26" numFmtId="0">
      <sharedItems containsString="0" containsBlank="1" containsNumber="1" containsInteger="1" minValue="150" maxValue="10000"/>
    </cacheField>
    <cacheField name="Aug-26" numFmtId="0">
      <sharedItems containsString="0" containsBlank="1" containsNumber="1" containsInteger="1" minValue="500" maxValue="10000"/>
    </cacheField>
    <cacheField name="Sep-26" numFmtId="0">
      <sharedItems containsString="0" containsBlank="1" containsNumber="1" minValue="500" maxValue="2500"/>
    </cacheField>
    <cacheField name="Oct-26" numFmtId="0">
      <sharedItems containsString="0" containsBlank="1" containsNumber="1" minValue="500" maxValue="60000"/>
    </cacheField>
    <cacheField name="Nov-26" numFmtId="164">
      <sharedItems containsString="0" containsBlank="1" containsNumber="1" containsInteger="1" minValue="15000" maxValue="15000"/>
    </cacheField>
    <cacheField name="Dec-26" numFmtId="164">
      <sharedItems containsString="0" containsBlank="1" containsNumber="1" containsInteger="1" minValue="260" maxValue="2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x v="0"/>
    <x v="0"/>
    <s v="No"/>
    <m/>
    <m/>
    <m/>
    <m/>
    <m/>
    <m/>
    <m/>
    <m/>
    <m/>
    <m/>
    <m/>
    <m/>
    <m/>
    <m/>
    <m/>
    <m/>
    <m/>
    <m/>
    <m/>
    <m/>
    <m/>
    <n v="1400"/>
    <m/>
    <m/>
    <m/>
    <n v="1400"/>
    <m/>
    <m/>
    <m/>
    <m/>
    <m/>
    <m/>
    <m/>
    <m/>
    <m/>
    <m/>
  </r>
  <r>
    <x v="1"/>
    <x v="0"/>
    <s v="No"/>
    <m/>
    <n v="1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0"/>
  </r>
  <r>
    <x v="3"/>
    <x v="1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0"/>
  </r>
  <r>
    <x v="4"/>
    <x v="0"/>
    <s v="No"/>
    <m/>
    <m/>
    <m/>
    <m/>
    <m/>
    <m/>
    <m/>
    <m/>
    <m/>
    <m/>
    <m/>
    <m/>
    <m/>
    <m/>
    <n v="560"/>
    <m/>
    <m/>
    <m/>
    <m/>
    <m/>
    <m/>
    <m/>
    <m/>
    <m/>
    <m/>
    <m/>
    <m/>
    <m/>
    <m/>
    <m/>
    <m/>
    <m/>
    <m/>
    <m/>
    <m/>
    <m/>
  </r>
  <r>
    <x v="5"/>
    <x v="1"/>
    <s v="No"/>
    <m/>
    <m/>
    <m/>
    <m/>
    <m/>
    <m/>
    <m/>
    <m/>
    <m/>
    <m/>
    <m/>
    <m/>
    <m/>
    <m/>
    <n v="160"/>
    <m/>
    <m/>
    <m/>
    <m/>
    <m/>
    <m/>
    <m/>
    <m/>
    <m/>
    <m/>
    <m/>
    <m/>
    <m/>
    <m/>
    <m/>
    <m/>
    <m/>
    <m/>
    <m/>
    <m/>
    <m/>
  </r>
  <r>
    <x v="6"/>
    <x v="0"/>
    <s v="No"/>
    <m/>
    <m/>
    <m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1"/>
    <s v="No"/>
    <m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x v="1"/>
    <s v="No"/>
    <m/>
    <m/>
    <m/>
    <m/>
    <m/>
    <m/>
    <m/>
    <m/>
    <n v="1980"/>
    <m/>
    <m/>
    <m/>
    <m/>
    <m/>
    <n v="180"/>
    <m/>
    <m/>
    <m/>
    <m/>
    <m/>
    <m/>
    <m/>
    <m/>
    <m/>
    <m/>
    <m/>
    <m/>
    <m/>
    <m/>
    <m/>
    <m/>
    <m/>
    <m/>
    <m/>
    <m/>
    <m/>
  </r>
  <r>
    <x v="9"/>
    <x v="0"/>
    <s v="No"/>
    <m/>
    <m/>
    <m/>
    <m/>
    <m/>
    <m/>
    <m/>
    <m/>
    <m/>
    <m/>
    <m/>
    <m/>
    <m/>
    <m/>
    <m/>
    <m/>
    <m/>
    <m/>
    <m/>
    <m/>
    <m/>
    <m/>
    <m/>
    <n v="1178.25"/>
    <m/>
    <m/>
    <m/>
    <m/>
    <m/>
    <m/>
    <m/>
    <m/>
    <m/>
    <m/>
    <m/>
    <m/>
  </r>
  <r>
    <x v="10"/>
    <x v="1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0"/>
    <n v="1000"/>
    <n v="1000"/>
    <m/>
    <m/>
    <m/>
  </r>
  <r>
    <x v="11"/>
    <x v="1"/>
    <s v="No"/>
    <m/>
    <m/>
    <m/>
    <m/>
    <m/>
    <m/>
    <m/>
    <m/>
    <m/>
    <m/>
    <m/>
    <m/>
    <m/>
    <m/>
    <m/>
    <m/>
    <m/>
    <m/>
    <m/>
    <m/>
    <m/>
    <m/>
    <m/>
    <m/>
    <m/>
    <m/>
    <m/>
    <n v="2130"/>
    <m/>
    <m/>
    <m/>
    <m/>
    <m/>
    <m/>
    <m/>
    <m/>
  </r>
  <r>
    <x v="12"/>
    <x v="1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n v="1000"/>
    <n v="1000"/>
    <m/>
    <m/>
    <m/>
  </r>
  <r>
    <x v="13"/>
    <x v="1"/>
    <s v="No"/>
    <m/>
    <m/>
    <m/>
    <m/>
    <m/>
    <m/>
    <m/>
    <m/>
    <m/>
    <m/>
    <m/>
    <m/>
    <m/>
    <m/>
    <m/>
    <m/>
    <m/>
    <m/>
    <m/>
    <m/>
    <m/>
    <m/>
    <m/>
    <m/>
    <m/>
    <m/>
    <m/>
    <n v="9390"/>
    <m/>
    <m/>
    <m/>
    <m/>
    <m/>
    <m/>
    <m/>
    <m/>
  </r>
  <r>
    <x v="14"/>
    <x v="1"/>
    <s v="No"/>
    <m/>
    <m/>
    <m/>
    <m/>
    <m/>
    <m/>
    <m/>
    <m/>
    <m/>
    <m/>
    <m/>
    <m/>
    <m/>
    <m/>
    <m/>
    <m/>
    <n v="8220"/>
    <m/>
    <m/>
    <m/>
    <m/>
    <m/>
    <m/>
    <m/>
    <m/>
    <m/>
    <m/>
    <m/>
    <m/>
    <m/>
    <m/>
    <m/>
    <m/>
    <m/>
    <m/>
    <m/>
  </r>
  <r>
    <x v="15"/>
    <x v="2"/>
    <s v="No"/>
    <m/>
    <m/>
    <m/>
    <m/>
    <m/>
    <m/>
    <m/>
    <m/>
    <m/>
    <m/>
    <m/>
    <m/>
    <m/>
    <m/>
    <m/>
    <m/>
    <m/>
    <m/>
    <m/>
    <n v="5673.56"/>
    <n v="4572.3099999999995"/>
    <m/>
    <n v="2121.5399999999995"/>
    <n v="3464.9400000000005"/>
    <m/>
    <m/>
    <m/>
    <m/>
    <m/>
    <m/>
    <m/>
    <m/>
    <m/>
    <m/>
    <m/>
    <m/>
  </r>
  <r>
    <x v="16"/>
    <x v="1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n v="1080"/>
    <m/>
    <m/>
    <m/>
    <m/>
    <m/>
    <m/>
  </r>
  <r>
    <x v="17"/>
    <x v="1"/>
    <s v="No"/>
    <m/>
    <m/>
    <m/>
    <m/>
    <m/>
    <m/>
    <m/>
    <m/>
    <m/>
    <m/>
    <m/>
    <m/>
    <m/>
    <m/>
    <n v="210"/>
    <m/>
    <m/>
    <m/>
    <m/>
    <m/>
    <m/>
    <m/>
    <m/>
    <m/>
    <m/>
    <m/>
    <m/>
    <m/>
    <m/>
    <m/>
    <m/>
    <m/>
    <m/>
    <m/>
    <m/>
    <m/>
  </r>
  <r>
    <x v="18"/>
    <x v="1"/>
    <s v="No"/>
    <m/>
    <m/>
    <m/>
    <m/>
    <m/>
    <m/>
    <m/>
    <m/>
    <m/>
    <m/>
    <m/>
    <m/>
    <m/>
    <m/>
    <m/>
    <n v="3030"/>
    <m/>
    <m/>
    <m/>
    <m/>
    <m/>
    <m/>
    <m/>
    <m/>
    <m/>
    <m/>
    <m/>
    <m/>
    <m/>
    <m/>
    <m/>
    <m/>
    <m/>
    <m/>
    <m/>
    <m/>
  </r>
  <r>
    <x v="19"/>
    <x v="2"/>
    <s v="No"/>
    <m/>
    <m/>
    <m/>
    <m/>
    <m/>
    <m/>
    <m/>
    <m/>
    <m/>
    <m/>
    <m/>
    <m/>
    <m/>
    <m/>
    <m/>
    <m/>
    <m/>
    <m/>
    <m/>
    <m/>
    <n v="5960.38"/>
    <n v="2352.88"/>
    <m/>
    <m/>
    <m/>
    <m/>
    <m/>
    <m/>
    <m/>
    <m/>
    <m/>
    <m/>
    <m/>
    <m/>
    <m/>
    <m/>
  </r>
  <r>
    <x v="19"/>
    <x v="1"/>
    <s v="No"/>
    <m/>
    <m/>
    <m/>
    <m/>
    <m/>
    <m/>
    <m/>
    <m/>
    <m/>
    <m/>
    <m/>
    <m/>
    <m/>
    <m/>
    <m/>
    <m/>
    <m/>
    <m/>
    <m/>
    <m/>
    <m/>
    <m/>
    <m/>
    <n v="750"/>
    <m/>
    <m/>
    <m/>
    <m/>
    <m/>
    <m/>
    <m/>
    <m/>
    <m/>
    <m/>
    <m/>
    <m/>
  </r>
  <r>
    <x v="20"/>
    <x v="1"/>
    <s v="No"/>
    <m/>
    <m/>
    <m/>
    <m/>
    <n v="11050"/>
    <m/>
    <m/>
    <m/>
    <m/>
    <m/>
    <m/>
    <m/>
    <n v="3700"/>
    <m/>
    <m/>
    <m/>
    <m/>
    <m/>
    <m/>
    <m/>
    <m/>
    <m/>
    <m/>
    <m/>
    <m/>
    <m/>
    <m/>
    <m/>
    <m/>
    <m/>
    <m/>
    <m/>
    <m/>
    <m/>
    <m/>
    <m/>
  </r>
  <r>
    <x v="21"/>
    <x v="1"/>
    <s v="No"/>
    <m/>
    <m/>
    <m/>
    <m/>
    <n v="780"/>
    <m/>
    <m/>
    <m/>
    <m/>
    <m/>
    <m/>
    <m/>
    <m/>
    <m/>
    <n v="210"/>
    <m/>
    <m/>
    <m/>
    <m/>
    <m/>
    <m/>
    <m/>
    <m/>
    <m/>
    <m/>
    <m/>
    <m/>
    <m/>
    <m/>
    <m/>
    <m/>
    <m/>
    <m/>
    <m/>
    <m/>
    <m/>
  </r>
  <r>
    <x v="22"/>
    <x v="1"/>
    <s v="No"/>
    <m/>
    <m/>
    <m/>
    <m/>
    <m/>
    <m/>
    <m/>
    <m/>
    <m/>
    <m/>
    <n v="1320"/>
    <m/>
    <m/>
    <m/>
    <m/>
    <m/>
    <m/>
    <m/>
    <m/>
    <m/>
    <m/>
    <m/>
    <m/>
    <m/>
    <m/>
    <m/>
    <m/>
    <m/>
    <m/>
    <m/>
    <m/>
    <m/>
    <m/>
    <m/>
    <m/>
    <m/>
  </r>
  <r>
    <x v="23"/>
    <x v="1"/>
    <s v="No"/>
    <m/>
    <m/>
    <m/>
    <m/>
    <m/>
    <m/>
    <m/>
    <m/>
    <m/>
    <m/>
    <n v="1740"/>
    <m/>
    <m/>
    <m/>
    <n v="210"/>
    <m/>
    <m/>
    <m/>
    <m/>
    <m/>
    <m/>
    <m/>
    <m/>
    <m/>
    <m/>
    <m/>
    <m/>
    <m/>
    <m/>
    <m/>
    <m/>
    <m/>
    <m/>
    <m/>
    <m/>
    <m/>
  </r>
  <r>
    <x v="24"/>
    <x v="1"/>
    <s v="No"/>
    <m/>
    <m/>
    <m/>
    <m/>
    <m/>
    <m/>
    <m/>
    <m/>
    <m/>
    <m/>
    <m/>
    <m/>
    <m/>
    <m/>
    <m/>
    <n v="840"/>
    <m/>
    <m/>
    <m/>
    <m/>
    <m/>
    <m/>
    <m/>
    <m/>
    <m/>
    <m/>
    <m/>
    <m/>
    <m/>
    <m/>
    <m/>
    <m/>
    <m/>
    <m/>
    <m/>
    <m/>
  </r>
  <r>
    <x v="25"/>
    <x v="1"/>
    <s v="No"/>
    <m/>
    <m/>
    <m/>
    <m/>
    <m/>
    <m/>
    <m/>
    <m/>
    <m/>
    <m/>
    <m/>
    <m/>
    <m/>
    <m/>
    <m/>
    <n v="480"/>
    <m/>
    <m/>
    <m/>
    <m/>
    <m/>
    <m/>
    <m/>
    <m/>
    <m/>
    <m/>
    <m/>
    <m/>
    <m/>
    <m/>
    <m/>
    <m/>
    <m/>
    <m/>
    <m/>
    <m/>
  </r>
  <r>
    <x v="15"/>
    <x v="1"/>
    <s v="No"/>
    <m/>
    <m/>
    <m/>
    <m/>
    <m/>
    <m/>
    <m/>
    <m/>
    <m/>
    <m/>
    <m/>
    <m/>
    <m/>
    <m/>
    <m/>
    <m/>
    <s v="Follow Up"/>
    <m/>
    <m/>
    <m/>
    <m/>
    <m/>
    <m/>
    <m/>
    <m/>
    <m/>
    <n v="3180"/>
    <m/>
    <m/>
    <m/>
    <m/>
    <m/>
    <m/>
    <m/>
    <m/>
    <m/>
  </r>
  <r>
    <x v="26"/>
    <x v="1"/>
    <s v="Yes"/>
    <m/>
    <m/>
    <m/>
    <m/>
    <m/>
    <m/>
    <m/>
    <m/>
    <m/>
    <m/>
    <m/>
    <m/>
    <m/>
    <m/>
    <m/>
    <m/>
    <m/>
    <m/>
    <m/>
    <m/>
    <m/>
    <m/>
    <m/>
    <n v="6114"/>
    <m/>
    <m/>
    <m/>
    <m/>
    <m/>
    <n v="14921.23"/>
    <n v="10000"/>
    <n v="10000"/>
    <m/>
    <m/>
    <n v="15000"/>
    <m/>
  </r>
  <r>
    <x v="27"/>
    <x v="1"/>
    <s v="No"/>
    <m/>
    <m/>
    <m/>
    <m/>
    <m/>
    <m/>
    <n v="270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1"/>
    <s v="No"/>
    <m/>
    <m/>
    <m/>
    <m/>
    <m/>
    <m/>
    <m/>
    <m/>
    <m/>
    <m/>
    <m/>
    <m/>
    <m/>
    <m/>
    <n v="690"/>
    <m/>
    <m/>
    <m/>
    <m/>
    <m/>
    <m/>
    <m/>
    <m/>
    <m/>
    <m/>
    <m/>
    <m/>
    <m/>
    <m/>
    <m/>
    <m/>
    <m/>
    <m/>
    <m/>
    <m/>
    <m/>
  </r>
  <r>
    <x v="29"/>
    <x v="1"/>
    <s v="No"/>
    <m/>
    <m/>
    <m/>
    <m/>
    <m/>
    <m/>
    <m/>
    <m/>
    <m/>
    <m/>
    <m/>
    <m/>
    <m/>
    <m/>
    <n v="4140"/>
    <m/>
    <m/>
    <m/>
    <m/>
    <m/>
    <m/>
    <m/>
    <m/>
    <m/>
    <m/>
    <m/>
    <m/>
    <m/>
    <m/>
    <m/>
    <m/>
    <m/>
    <m/>
    <m/>
    <m/>
    <m/>
  </r>
  <r>
    <x v="30"/>
    <x v="2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2"/>
    <s v="No"/>
    <m/>
    <m/>
    <m/>
    <m/>
    <m/>
    <m/>
    <m/>
    <m/>
    <m/>
    <m/>
    <m/>
    <m/>
    <m/>
    <m/>
    <m/>
    <m/>
    <m/>
    <m/>
    <n v="1568.58"/>
    <m/>
    <m/>
    <m/>
    <m/>
    <m/>
    <m/>
    <m/>
    <m/>
    <m/>
    <m/>
    <m/>
    <m/>
    <m/>
    <m/>
    <m/>
    <m/>
    <m/>
  </r>
  <r>
    <x v="32"/>
    <x v="1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"/>
    <s v="No"/>
    <m/>
    <m/>
    <m/>
    <m/>
    <m/>
    <m/>
    <m/>
    <m/>
    <m/>
    <m/>
    <m/>
    <m/>
    <m/>
    <m/>
    <m/>
    <n v="300"/>
    <m/>
    <m/>
    <m/>
    <m/>
    <m/>
    <m/>
    <m/>
    <m/>
    <m/>
    <m/>
    <n v="210"/>
    <m/>
    <m/>
    <m/>
    <m/>
    <m/>
    <m/>
    <m/>
    <m/>
    <m/>
  </r>
  <r>
    <x v="34"/>
    <x v="1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n v="1000"/>
    <n v="1000"/>
    <m/>
    <m/>
    <m/>
  </r>
  <r>
    <x v="35"/>
    <x v="1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00"/>
    <m/>
    <m/>
    <m/>
    <m/>
    <m/>
  </r>
  <r>
    <x v="36"/>
    <x v="1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0"/>
    <m/>
    <m/>
    <m/>
    <m/>
    <m/>
  </r>
  <r>
    <x v="37"/>
    <x v="1"/>
    <s v="No"/>
    <m/>
    <m/>
    <m/>
    <m/>
    <m/>
    <m/>
    <m/>
    <m/>
    <m/>
    <m/>
    <m/>
    <m/>
    <m/>
    <m/>
    <m/>
    <m/>
    <m/>
    <m/>
    <m/>
    <m/>
    <m/>
    <m/>
    <m/>
    <m/>
    <m/>
    <m/>
    <n v="270"/>
    <m/>
    <m/>
    <m/>
    <m/>
    <m/>
    <m/>
    <m/>
    <m/>
    <m/>
  </r>
  <r>
    <x v="38"/>
    <x v="0"/>
    <s v="No"/>
    <m/>
    <m/>
    <m/>
    <m/>
    <m/>
    <m/>
    <m/>
    <m/>
    <m/>
    <m/>
    <m/>
    <m/>
    <m/>
    <m/>
    <m/>
    <m/>
    <m/>
    <n v="740"/>
    <m/>
    <n v="750"/>
    <m/>
    <m/>
    <n v="750"/>
    <m/>
    <m/>
    <m/>
    <m/>
    <m/>
    <m/>
    <m/>
    <m/>
    <m/>
    <m/>
    <m/>
    <m/>
    <m/>
  </r>
  <r>
    <x v="39"/>
    <x v="0"/>
    <s v="No"/>
    <m/>
    <m/>
    <m/>
    <m/>
    <m/>
    <m/>
    <m/>
    <m/>
    <m/>
    <m/>
    <m/>
    <m/>
    <m/>
    <m/>
    <m/>
    <m/>
    <m/>
    <m/>
    <n v="975"/>
    <m/>
    <m/>
    <m/>
    <n v="975"/>
    <m/>
    <m/>
    <m/>
    <m/>
    <m/>
    <m/>
    <m/>
    <m/>
    <m/>
    <m/>
    <m/>
    <m/>
    <m/>
  </r>
  <r>
    <x v="40"/>
    <x v="0"/>
    <s v="No"/>
    <m/>
    <m/>
    <m/>
    <m/>
    <m/>
    <m/>
    <m/>
    <m/>
    <m/>
    <m/>
    <m/>
    <m/>
    <m/>
    <m/>
    <m/>
    <n v="240"/>
    <n v="1402.5"/>
    <m/>
    <m/>
    <m/>
    <m/>
    <m/>
    <m/>
    <m/>
    <n v="1402.5"/>
    <m/>
    <m/>
    <m/>
    <m/>
    <m/>
    <m/>
    <m/>
    <m/>
    <m/>
    <m/>
    <m/>
  </r>
  <r>
    <x v="41"/>
    <x v="1"/>
    <s v="No"/>
    <m/>
    <m/>
    <m/>
    <m/>
    <m/>
    <m/>
    <m/>
    <m/>
    <m/>
    <m/>
    <m/>
    <m/>
    <m/>
    <m/>
    <m/>
    <m/>
    <m/>
    <m/>
    <m/>
    <m/>
    <m/>
    <m/>
    <m/>
    <m/>
    <m/>
    <m/>
    <n v="480"/>
    <m/>
    <m/>
    <m/>
    <m/>
    <m/>
    <m/>
    <m/>
    <m/>
    <m/>
  </r>
  <r>
    <x v="42"/>
    <x v="0"/>
    <s v="Yes"/>
    <m/>
    <m/>
    <m/>
    <m/>
    <m/>
    <m/>
    <m/>
    <m/>
    <m/>
    <m/>
    <m/>
    <m/>
    <m/>
    <m/>
    <m/>
    <m/>
    <m/>
    <n v="1000"/>
    <m/>
    <m/>
    <n v="1384"/>
    <m/>
    <m/>
    <m/>
    <m/>
    <m/>
    <n v="3200"/>
    <m/>
    <m/>
    <n v="462"/>
    <m/>
    <m/>
    <m/>
    <m/>
    <m/>
    <m/>
  </r>
  <r>
    <x v="43"/>
    <x v="0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0"/>
    <m/>
    <m/>
    <m/>
  </r>
  <r>
    <x v="44"/>
    <x v="0"/>
    <s v="No"/>
    <m/>
    <m/>
    <m/>
    <m/>
    <m/>
    <m/>
    <m/>
    <m/>
    <m/>
    <m/>
    <m/>
    <m/>
    <m/>
    <m/>
    <m/>
    <m/>
    <m/>
    <m/>
    <m/>
    <m/>
    <n v="750"/>
    <m/>
    <n v="750"/>
    <m/>
    <m/>
    <m/>
    <m/>
    <m/>
    <m/>
    <m/>
    <m/>
    <m/>
    <m/>
    <m/>
    <m/>
    <m/>
  </r>
  <r>
    <x v="45"/>
    <x v="1"/>
    <s v="No"/>
    <m/>
    <m/>
    <m/>
    <m/>
    <m/>
    <m/>
    <m/>
    <m/>
    <m/>
    <m/>
    <m/>
    <m/>
    <m/>
    <m/>
    <m/>
    <m/>
    <m/>
    <m/>
    <n v="1200"/>
    <m/>
    <m/>
    <m/>
    <m/>
    <m/>
    <m/>
    <m/>
    <m/>
    <m/>
    <m/>
    <m/>
    <m/>
    <m/>
    <m/>
    <m/>
    <m/>
    <m/>
  </r>
  <r>
    <x v="46"/>
    <x v="0"/>
    <s v="No"/>
    <m/>
    <m/>
    <m/>
    <m/>
    <m/>
    <m/>
    <m/>
    <m/>
    <m/>
    <m/>
    <m/>
    <m/>
    <m/>
    <m/>
    <m/>
    <n v="1212.5"/>
    <m/>
    <m/>
    <m/>
    <n v="1212.5"/>
    <m/>
    <m/>
    <n v="1212.5"/>
    <m/>
    <m/>
    <n v="1212.5"/>
    <m/>
    <m/>
    <m/>
    <m/>
    <m/>
    <m/>
    <m/>
    <m/>
    <m/>
    <m/>
  </r>
  <r>
    <x v="47"/>
    <x v="0"/>
    <s v="No"/>
    <m/>
    <m/>
    <m/>
    <m/>
    <m/>
    <n v="550"/>
    <m/>
    <n v="550"/>
    <m/>
    <m/>
    <m/>
    <m/>
    <m/>
    <m/>
    <m/>
    <m/>
    <m/>
    <m/>
    <m/>
    <m/>
    <m/>
    <m/>
    <m/>
    <m/>
    <m/>
    <m/>
    <m/>
    <m/>
    <m/>
    <m/>
    <m/>
    <m/>
    <m/>
    <m/>
    <m/>
    <m/>
  </r>
  <r>
    <x v="48"/>
    <x v="0"/>
    <s v="No"/>
    <m/>
    <m/>
    <n v="1250"/>
    <m/>
    <m/>
    <m/>
    <m/>
    <m/>
    <n v="1250"/>
    <m/>
    <n v="1250"/>
    <m/>
    <m/>
    <m/>
    <m/>
    <m/>
    <m/>
    <n v="1250"/>
    <m/>
    <m/>
    <m/>
    <m/>
    <m/>
    <m/>
    <m/>
    <m/>
    <m/>
    <m/>
    <m/>
    <m/>
    <m/>
    <m/>
    <m/>
    <m/>
    <m/>
    <m/>
  </r>
  <r>
    <x v="49"/>
    <x v="0"/>
    <s v="No"/>
    <m/>
    <m/>
    <m/>
    <m/>
    <m/>
    <m/>
    <m/>
    <m/>
    <m/>
    <m/>
    <m/>
    <m/>
    <m/>
    <m/>
    <m/>
    <m/>
    <n v="425"/>
    <n v="425"/>
    <m/>
    <m/>
    <m/>
    <m/>
    <m/>
    <m/>
    <m/>
    <m/>
    <m/>
    <m/>
    <m/>
    <m/>
    <m/>
    <m/>
    <m/>
    <m/>
    <m/>
    <m/>
  </r>
  <r>
    <x v="50"/>
    <x v="0"/>
    <s v="Yes"/>
    <m/>
    <m/>
    <m/>
    <m/>
    <m/>
    <m/>
    <m/>
    <m/>
    <m/>
    <m/>
    <m/>
    <m/>
    <m/>
    <m/>
    <m/>
    <m/>
    <m/>
    <m/>
    <m/>
    <m/>
    <m/>
    <m/>
    <m/>
    <m/>
    <m/>
    <m/>
    <n v="818"/>
    <m/>
    <m/>
    <m/>
    <m/>
    <n v="500"/>
    <m/>
    <m/>
    <m/>
    <m/>
  </r>
  <r>
    <x v="51"/>
    <x v="0"/>
    <s v="Yes"/>
    <m/>
    <m/>
    <m/>
    <m/>
    <m/>
    <m/>
    <m/>
    <m/>
    <m/>
    <m/>
    <m/>
    <m/>
    <m/>
    <m/>
    <m/>
    <m/>
    <m/>
    <m/>
    <m/>
    <m/>
    <m/>
    <m/>
    <m/>
    <m/>
    <m/>
    <n v="1725"/>
    <m/>
    <m/>
    <m/>
    <m/>
    <n v="1725"/>
    <n v="500"/>
    <n v="500"/>
    <m/>
    <m/>
    <m/>
  </r>
  <r>
    <x v="52"/>
    <x v="0"/>
    <s v="No"/>
    <m/>
    <n v="900"/>
    <n v="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3"/>
    <x v="0"/>
    <s v="No"/>
    <m/>
    <m/>
    <m/>
    <m/>
    <m/>
    <m/>
    <m/>
    <m/>
    <m/>
    <m/>
    <m/>
    <m/>
    <m/>
    <m/>
    <m/>
    <m/>
    <m/>
    <m/>
    <n v="660"/>
    <m/>
    <m/>
    <m/>
    <m/>
    <m/>
    <m/>
    <m/>
    <m/>
    <m/>
    <m/>
    <m/>
    <m/>
    <m/>
    <m/>
    <m/>
    <m/>
    <m/>
  </r>
  <r>
    <x v="54"/>
    <x v="1"/>
    <s v="No"/>
    <m/>
    <m/>
    <n v="6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5"/>
    <x v="1"/>
    <s v="No"/>
    <m/>
    <m/>
    <m/>
    <m/>
    <m/>
    <m/>
    <m/>
    <m/>
    <m/>
    <m/>
    <m/>
    <m/>
    <m/>
    <m/>
    <m/>
    <m/>
    <m/>
    <m/>
    <m/>
    <m/>
    <m/>
    <m/>
    <m/>
    <m/>
    <n v="9450"/>
    <m/>
    <m/>
    <m/>
    <m/>
    <m/>
    <m/>
    <m/>
    <m/>
    <m/>
    <m/>
    <m/>
  </r>
  <r>
    <x v="56"/>
    <x v="0"/>
    <s v="No"/>
    <m/>
    <m/>
    <m/>
    <m/>
    <m/>
    <m/>
    <m/>
    <n v="2325"/>
    <m/>
    <m/>
    <m/>
    <m/>
    <m/>
    <m/>
    <m/>
    <m/>
    <m/>
    <m/>
    <m/>
    <n v="2325"/>
    <m/>
    <m/>
    <m/>
    <m/>
    <n v="2325"/>
    <m/>
    <m/>
    <m/>
    <n v="2325"/>
    <m/>
    <m/>
    <m/>
    <m/>
    <m/>
    <m/>
    <m/>
  </r>
  <r>
    <x v="57"/>
    <x v="0"/>
    <s v="No"/>
    <m/>
    <m/>
    <m/>
    <m/>
    <m/>
    <m/>
    <m/>
    <m/>
    <m/>
    <m/>
    <m/>
    <m/>
    <m/>
    <m/>
    <m/>
    <m/>
    <m/>
    <m/>
    <m/>
    <m/>
    <m/>
    <m/>
    <n v="500"/>
    <m/>
    <m/>
    <n v="225"/>
    <m/>
    <m/>
    <m/>
    <m/>
    <m/>
    <m/>
    <m/>
    <m/>
    <m/>
    <m/>
  </r>
  <r>
    <x v="58"/>
    <x v="0"/>
    <s v="No"/>
    <m/>
    <m/>
    <m/>
    <m/>
    <m/>
    <m/>
    <m/>
    <m/>
    <m/>
    <m/>
    <m/>
    <m/>
    <m/>
    <m/>
    <m/>
    <m/>
    <m/>
    <m/>
    <m/>
    <m/>
    <m/>
    <m/>
    <m/>
    <m/>
    <m/>
    <m/>
    <m/>
    <n v="800"/>
    <m/>
    <m/>
    <m/>
    <m/>
    <m/>
    <m/>
    <m/>
    <m/>
  </r>
  <r>
    <x v="59"/>
    <x v="0"/>
    <s v="Yes"/>
    <n v="940"/>
    <m/>
    <n v="2020"/>
    <m/>
    <n v="2480"/>
    <m/>
    <m/>
    <n v="1917"/>
    <n v="1638"/>
    <m/>
    <m/>
    <n v="640.00000000000011"/>
    <n v="640"/>
    <n v="1160"/>
    <m/>
    <n v="2099.87"/>
    <m/>
    <n v="1260"/>
    <m/>
    <n v="1100"/>
    <m/>
    <m/>
    <m/>
    <m/>
    <m/>
    <m/>
    <m/>
    <m/>
    <m/>
    <m/>
    <n v="150"/>
    <m/>
    <m/>
    <m/>
    <m/>
    <m/>
  </r>
  <r>
    <x v="60"/>
    <x v="0"/>
    <s v="No"/>
    <m/>
    <m/>
    <m/>
    <m/>
    <m/>
    <m/>
    <m/>
    <m/>
    <n v="1600"/>
    <m/>
    <m/>
    <m/>
    <m/>
    <m/>
    <m/>
    <m/>
    <m/>
    <m/>
    <m/>
    <m/>
    <m/>
    <m/>
    <m/>
    <m/>
    <m/>
    <m/>
    <m/>
    <m/>
    <n v="1750"/>
    <m/>
    <m/>
    <m/>
    <m/>
    <m/>
    <m/>
    <m/>
  </r>
  <r>
    <x v="61"/>
    <x v="0"/>
    <s v="Yes"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n v="500"/>
    <m/>
    <m/>
    <m/>
    <m/>
    <m/>
  </r>
  <r>
    <x v="61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2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3"/>
    <x v="0"/>
    <s v="No"/>
    <m/>
    <m/>
    <m/>
    <m/>
    <m/>
    <m/>
    <m/>
    <m/>
    <m/>
    <m/>
    <m/>
    <m/>
    <m/>
    <m/>
    <m/>
    <m/>
    <m/>
    <m/>
    <m/>
    <n v="1687.5"/>
    <m/>
    <m/>
    <n v="1312.5"/>
    <m/>
    <n v="375"/>
    <n v="1312.5"/>
    <m/>
    <m/>
    <n v="1312.5"/>
    <m/>
    <m/>
    <m/>
    <m/>
    <m/>
    <m/>
    <m/>
  </r>
  <r>
    <x v="64"/>
    <x v="0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m/>
  </r>
  <r>
    <x v="65"/>
    <x v="0"/>
    <s v="Yes"/>
    <m/>
    <m/>
    <m/>
    <m/>
    <m/>
    <m/>
    <m/>
    <m/>
    <m/>
    <m/>
    <m/>
    <m/>
    <m/>
    <m/>
    <m/>
    <m/>
    <m/>
    <m/>
    <m/>
    <m/>
    <m/>
    <m/>
    <m/>
    <n v="500"/>
    <m/>
    <m/>
    <m/>
    <n v="500"/>
    <m/>
    <m/>
    <n v="500"/>
    <m/>
    <m/>
    <m/>
    <m/>
    <m/>
  </r>
  <r>
    <x v="66"/>
    <x v="0"/>
    <s v="Yes"/>
    <m/>
    <m/>
    <m/>
    <m/>
    <m/>
    <m/>
    <m/>
    <m/>
    <m/>
    <m/>
    <m/>
    <m/>
    <m/>
    <m/>
    <m/>
    <m/>
    <m/>
    <m/>
    <n v="3500"/>
    <m/>
    <m/>
    <m/>
    <m/>
    <m/>
    <n v="3500"/>
    <m/>
    <m/>
    <m/>
    <n v="3500"/>
    <m/>
    <n v="3500"/>
    <m/>
    <m/>
    <m/>
    <m/>
    <m/>
  </r>
  <r>
    <x v="67"/>
    <x v="0"/>
    <s v="Yes"/>
    <m/>
    <m/>
    <m/>
    <m/>
    <m/>
    <m/>
    <m/>
    <m/>
    <m/>
    <m/>
    <m/>
    <m/>
    <m/>
    <m/>
    <m/>
    <m/>
    <m/>
    <m/>
    <m/>
    <m/>
    <m/>
    <m/>
    <m/>
    <m/>
    <m/>
    <m/>
    <n v="1612.5"/>
    <m/>
    <n v="1612.5"/>
    <m/>
    <m/>
    <m/>
    <n v="1612.5"/>
    <n v="1612.5"/>
    <m/>
    <m/>
  </r>
  <r>
    <x v="68"/>
    <x v="0"/>
    <s v="Yes"/>
    <m/>
    <m/>
    <m/>
    <m/>
    <m/>
    <m/>
    <m/>
    <m/>
    <m/>
    <m/>
    <m/>
    <m/>
    <m/>
    <m/>
    <m/>
    <m/>
    <m/>
    <m/>
    <m/>
    <m/>
    <m/>
    <m/>
    <m/>
    <m/>
    <m/>
    <m/>
    <n v="1500"/>
    <m/>
    <m/>
    <n v="1500"/>
    <n v="800"/>
    <m/>
    <m/>
    <m/>
    <m/>
    <m/>
  </r>
  <r>
    <x v="69"/>
    <x v="1"/>
    <s v="No"/>
    <m/>
    <m/>
    <m/>
    <m/>
    <m/>
    <m/>
    <m/>
    <m/>
    <m/>
    <m/>
    <m/>
    <m/>
    <m/>
    <m/>
    <m/>
    <m/>
    <m/>
    <m/>
    <m/>
    <m/>
    <m/>
    <m/>
    <m/>
    <m/>
    <m/>
    <m/>
    <n v="240"/>
    <m/>
    <m/>
    <m/>
    <m/>
    <m/>
    <m/>
    <m/>
    <m/>
    <m/>
  </r>
  <r>
    <x v="70"/>
    <x v="0"/>
    <s v="Yes"/>
    <m/>
    <m/>
    <m/>
    <m/>
    <m/>
    <m/>
    <m/>
    <m/>
    <m/>
    <m/>
    <m/>
    <m/>
    <m/>
    <m/>
    <m/>
    <m/>
    <m/>
    <m/>
    <m/>
    <m/>
    <m/>
    <m/>
    <m/>
    <m/>
    <m/>
    <m/>
    <n v="1850"/>
    <m/>
    <n v="1850"/>
    <m/>
    <n v="600"/>
    <n v="600"/>
    <m/>
    <m/>
    <m/>
    <m/>
  </r>
  <r>
    <x v="71"/>
    <x v="1"/>
    <s v="Yes"/>
    <m/>
    <m/>
    <m/>
    <m/>
    <m/>
    <m/>
    <m/>
    <m/>
    <m/>
    <m/>
    <m/>
    <m/>
    <m/>
    <m/>
    <m/>
    <m/>
    <m/>
    <m/>
    <m/>
    <m/>
    <m/>
    <m/>
    <m/>
    <m/>
    <m/>
    <m/>
    <m/>
    <n v="2500"/>
    <m/>
    <m/>
    <m/>
    <n v="5000"/>
    <n v="2500"/>
    <m/>
    <m/>
    <m/>
  </r>
  <r>
    <x v="72"/>
    <x v="1"/>
    <s v="Yes"/>
    <m/>
    <m/>
    <m/>
    <m/>
    <m/>
    <m/>
    <m/>
    <m/>
    <m/>
    <m/>
    <m/>
    <m/>
    <m/>
    <m/>
    <m/>
    <m/>
    <m/>
    <m/>
    <m/>
    <m/>
    <m/>
    <m/>
    <m/>
    <m/>
    <m/>
    <m/>
    <m/>
    <n v="1127.6199999999999"/>
    <m/>
    <m/>
    <m/>
    <m/>
    <m/>
    <n v="60000"/>
    <m/>
    <m/>
  </r>
  <r>
    <x v="73"/>
    <x v="0"/>
    <s v="Yes"/>
    <m/>
    <m/>
    <m/>
    <m/>
    <m/>
    <m/>
    <m/>
    <m/>
    <m/>
    <m/>
    <m/>
    <m/>
    <m/>
    <m/>
    <m/>
    <m/>
    <m/>
    <m/>
    <m/>
    <m/>
    <m/>
    <m/>
    <m/>
    <m/>
    <m/>
    <m/>
    <m/>
    <m/>
    <n v="2000"/>
    <m/>
    <n v="2000"/>
    <n v="500"/>
    <n v="500"/>
    <m/>
    <m/>
    <m/>
  </r>
  <r>
    <x v="74"/>
    <x v="0"/>
    <s v="Yes"/>
    <m/>
    <m/>
    <m/>
    <m/>
    <m/>
    <m/>
    <m/>
    <m/>
    <m/>
    <m/>
    <m/>
    <m/>
    <m/>
    <m/>
    <m/>
    <m/>
    <m/>
    <m/>
    <m/>
    <m/>
    <m/>
    <m/>
    <m/>
    <m/>
    <m/>
    <m/>
    <m/>
    <m/>
    <n v="1350"/>
    <m/>
    <n v="1350"/>
    <n v="1350"/>
    <n v="1350"/>
    <m/>
    <m/>
    <m/>
  </r>
  <r>
    <x v="75"/>
    <x v="0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00"/>
    <n v="4100"/>
    <n v="600"/>
    <n v="600"/>
    <m/>
    <m/>
  </r>
  <r>
    <x v="76"/>
    <x v="0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n v="500"/>
    <n v="500"/>
    <m/>
    <m/>
    <m/>
    <m/>
  </r>
  <r>
    <x v="7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8"/>
    <x v="0"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50"/>
    <n v="2250"/>
    <m/>
    <n v="500"/>
    <m/>
    <m/>
  </r>
  <r>
    <x v="7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890E7-DDB1-4EDD-97A5-B3F0F25FEC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M8" firstHeaderRow="0" firstDataRow="1" firstDataCol="1"/>
  <pivotFields count="39"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Count of Jan-25" fld="15" subtotal="count" baseField="0" baseItem="0"/>
    <dataField name="Count of Feb-25" fld="16" subtotal="count" baseField="0" baseItem="0"/>
    <dataField name="Count of Mar-25" fld="17" subtotal="count" baseField="0" baseItem="0"/>
    <dataField name="Count of Apr-25" fld="18" subtotal="count" baseField="0" baseItem="0"/>
    <dataField name="Count of May-25" fld="19" subtotal="count" baseField="0" baseItem="0"/>
    <dataField name="Count of Jun-25" fld="20" subtotal="count" baseField="0" baseItem="0"/>
    <dataField name="Count of Jul-25" fld="21" subtotal="count" baseField="0" baseItem="0"/>
    <dataField name="Count of Aug-25" fld="22" subtotal="count" baseField="0" baseItem="0"/>
    <dataField name="Count of Sep-25" fld="23" subtotal="count" baseField="0" baseItem="0"/>
    <dataField name="Count of Oct-25" fld="24" subtotal="count" baseField="0" baseItem="0"/>
    <dataField name="Count of Nov-25" fld="25" subtotal="count" baseField="0" baseItem="0"/>
    <dataField name="Count of Dec-25" fld="2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0B0F6-C5BE-49E7-B585-DE58C6C34AF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M15" firstHeaderRow="0" firstDataRow="1" firstDataCol="1"/>
  <pivotFields count="39"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an-25" fld="15" baseField="0" baseItem="0"/>
    <dataField name="Sum of Feb-25" fld="16" baseField="0" baseItem="0"/>
    <dataField name="Sum of Mar-25" fld="17" baseField="0" baseItem="0"/>
    <dataField name="Sum of Apr-25" fld="18" baseField="0" baseItem="0"/>
    <dataField name="Sum of May-25" fld="19" baseField="0" baseItem="0"/>
    <dataField name="Sum of Jun-25" fld="20" baseField="0" baseItem="0"/>
    <dataField name="Sum of Jul-25" fld="21" baseField="0" baseItem="0"/>
    <dataField name="Sum of Aug-25" fld="22" baseField="0" baseItem="0"/>
    <dataField name="Sum of Sep-25" fld="23" baseField="0" baseItem="0"/>
    <dataField name="Sum of Oct-25" fld="24" baseField="0" baseItem="0"/>
    <dataField name="Sum of Nov-25" fld="25" baseField="0" baseItem="0"/>
    <dataField name="Sum of Dec-25" fld="26" baseField="0" baseItem="0"/>
  </dataFields>
  <formats count="4">
    <format dxfId="102">
      <pivotArea outline="0" collapsedLevelsAreSubtotals="1" fieldPosition="0"/>
    </format>
    <format dxfId="101">
      <pivotArea dataOnly="0" labelOnly="1" outline="0" fieldPosition="0">
        <references count="1">
          <reference field="1" count="0"/>
        </references>
      </pivotArea>
    </format>
    <format dxfId="100">
      <pivotArea dataOnly="0" labelOnly="1" grandRow="1" outline="0" fieldPosition="0"/>
    </format>
    <format dxfId="99">
      <pivotArea field="1" grandRow="1" outline="0" axis="axisRow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34500-EDA5-493C-B7D5-B2CAC00522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M83" firstHeaderRow="0" firstDataRow="1" firstDataCol="1" rowPageCount="1" colPageCount="1"/>
  <pivotFields count="39">
    <pivotField axis="axisRow" compact="0" outline="0" showAll="0">
      <items count="141">
        <item sd="0" m="1" x="124"/>
        <item sd="0" m="1" x="126"/>
        <item sd="0" x="47"/>
        <item sd="0" m="1" x="128"/>
        <item sd="0" x="48"/>
        <item m="1" x="129"/>
        <item sd="0" m="1" x="130"/>
        <item m="1" x="137"/>
        <item sd="0" x="59"/>
        <item m="1" x="138"/>
        <item sd="0" m="1" x="134"/>
        <item sd="0" x="6"/>
        <item sd="0" x="54"/>
        <item sd="0" m="1" x="127"/>
        <item sd="0" x="52"/>
        <item sd="0" x="7"/>
        <item sd="0" m="1" x="125"/>
        <item sd="0" m="1" x="132"/>
        <item sd="0" m="1" x="133"/>
        <item x="56"/>
        <item x="77"/>
        <item m="1" x="114"/>
        <item m="1" x="139"/>
        <item m="1" x="135"/>
        <item m="1" x="131"/>
        <item m="1" x="136"/>
        <item m="1" x="120"/>
        <item x="4"/>
        <item x="5"/>
        <item x="17"/>
        <item x="8"/>
        <item x="20"/>
        <item x="21"/>
        <item x="22"/>
        <item x="25"/>
        <item x="26"/>
        <item x="27"/>
        <item x="29"/>
        <item m="1" x="117"/>
        <item x="23"/>
        <item m="1" x="122"/>
        <item m="1" x="123"/>
        <item x="28"/>
        <item x="1"/>
        <item m="1" x="115"/>
        <item x="24"/>
        <item x="14"/>
        <item m="1" x="118"/>
        <item m="1" x="108"/>
        <item m="1" x="119"/>
        <item m="1" x="121"/>
        <item x="13"/>
        <item m="1" x="80"/>
        <item m="1" x="116"/>
        <item m="1" x="113"/>
        <item x="33"/>
        <item x="18"/>
        <item x="32"/>
        <item x="11"/>
        <item x="53"/>
        <item x="15"/>
        <item m="1" x="112"/>
        <item x="3"/>
        <item m="1" x="111"/>
        <item x="2"/>
        <item x="49"/>
        <item m="1" x="98"/>
        <item m="1" x="94"/>
        <item m="1" x="95"/>
        <item m="1" x="104"/>
        <item x="30"/>
        <item m="1" x="110"/>
        <item x="31"/>
        <item x="39"/>
        <item m="1" x="109"/>
        <item m="1" x="97"/>
        <item m="1" x="86"/>
        <item x="45"/>
        <item m="1" x="106"/>
        <item m="1" x="107"/>
        <item m="1" x="96"/>
        <item m="1" x="84"/>
        <item m="1" x="103"/>
        <item x="36"/>
        <item x="10"/>
        <item x="19"/>
        <item m="1" x="105"/>
        <item x="38"/>
        <item x="44"/>
        <item x="37"/>
        <item m="1" x="101"/>
        <item m="1" x="102"/>
        <item m="1" x="85"/>
        <item x="9"/>
        <item x="34"/>
        <item x="55"/>
        <item m="1" x="99"/>
        <item m="1" x="100"/>
        <item m="1" x="90"/>
        <item x="40"/>
        <item m="1" x="87"/>
        <item m="1" x="88"/>
        <item m="1" x="89"/>
        <item m="1" x="92"/>
        <item m="1" x="93"/>
        <item x="57"/>
        <item x="46"/>
        <item x="65"/>
        <item x="51"/>
        <item x="12"/>
        <item m="1" x="91"/>
        <item x="0"/>
        <item m="1" x="81"/>
        <item x="50"/>
        <item x="58"/>
        <item x="60"/>
        <item x="63"/>
        <item x="66"/>
        <item x="61"/>
        <item x="62"/>
        <item x="43"/>
        <item m="1" x="82"/>
        <item m="1" x="83"/>
        <item x="67"/>
        <item x="68"/>
        <item x="41"/>
        <item x="69"/>
        <item x="70"/>
        <item x="71"/>
        <item x="72"/>
        <item x="35"/>
        <item x="73"/>
        <item x="74"/>
        <item x="64"/>
        <item x="75"/>
        <item x="76"/>
        <item x="16"/>
        <item m="1" x="79"/>
        <item x="78"/>
        <item x="42"/>
        <item t="default"/>
      </items>
    </pivotField>
    <pivotField axis="axisPage" compact="0" outline="0" showAll="0">
      <items count="5">
        <item sd="0" x="1"/>
        <item sd="0"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80">
    <i>
      <x v="2"/>
    </i>
    <i>
      <x v="4"/>
    </i>
    <i>
      <x v="8"/>
    </i>
    <i>
      <x v="11"/>
    </i>
    <i>
      <x v="12"/>
    </i>
    <i>
      <x v="14"/>
    </i>
    <i>
      <x v="15"/>
    </i>
    <i>
      <x v="19"/>
    </i>
    <i>
      <x v="20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2"/>
    </i>
    <i>
      <x v="43"/>
    </i>
    <i>
      <x v="45"/>
    </i>
    <i>
      <x v="46"/>
    </i>
    <i>
      <x v="51"/>
    </i>
    <i>
      <x v="55"/>
    </i>
    <i>
      <x v="56"/>
    </i>
    <i>
      <x v="57"/>
    </i>
    <i>
      <x v="58"/>
    </i>
    <i>
      <x v="59"/>
    </i>
    <i>
      <x v="60"/>
    </i>
    <i>
      <x v="62"/>
    </i>
    <i>
      <x v="64"/>
    </i>
    <i>
      <x v="65"/>
    </i>
    <i>
      <x v="70"/>
    </i>
    <i>
      <x v="72"/>
    </i>
    <i>
      <x v="73"/>
    </i>
    <i>
      <x v="77"/>
    </i>
    <i>
      <x v="83"/>
    </i>
    <i>
      <x v="84"/>
    </i>
    <i>
      <x v="85"/>
    </i>
    <i>
      <x v="87"/>
    </i>
    <i>
      <x v="88"/>
    </i>
    <i>
      <x v="89"/>
    </i>
    <i>
      <x v="93"/>
    </i>
    <i>
      <x v="94"/>
    </i>
    <i>
      <x v="95"/>
    </i>
    <i>
      <x v="99"/>
    </i>
    <i>
      <x v="105"/>
    </i>
    <i>
      <x v="106"/>
    </i>
    <i>
      <x v="107"/>
    </i>
    <i>
      <x v="108"/>
    </i>
    <i>
      <x v="109"/>
    </i>
    <i>
      <x v="111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8"/>
    </i>
    <i>
      <x v="139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1" hier="-1"/>
  </pageFields>
  <dataFields count="12">
    <dataField name="Sum of Jan-25" fld="15" baseField="0" baseItem="0"/>
    <dataField name="Sum of Feb-25" fld="16" baseField="0" baseItem="0"/>
    <dataField name="Sum of Mar-25" fld="17" baseField="0" baseItem="0"/>
    <dataField name="Sum of Apr-25" fld="18" baseField="0" baseItem="0"/>
    <dataField name="Sum of May-25" fld="19" baseField="0" baseItem="0"/>
    <dataField name="Sum of Jun-25" fld="20" baseField="0" baseItem="0"/>
    <dataField name="Sum of Jul-25" fld="21" baseField="0" baseItem="0"/>
    <dataField name="Sum of Aug-25" fld="22" baseField="0" baseItem="0"/>
    <dataField name="Sum of Sep-25" fld="23" baseField="0" baseItem="0"/>
    <dataField name="Sum of Oct-25" fld="24" baseField="0" baseItem="0"/>
    <dataField name="Sum of Nov-25" fld="25" baseField="0" baseItem="0"/>
    <dataField name="Sum of Dec-25" fld="26" baseField="0" baseItem="0"/>
  </dataFields>
  <formats count="5"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dataOnly="0" labelOnly="1" outline="0" fieldPosition="0">
        <references count="1">
          <reference field="0" count="0"/>
        </references>
      </pivotArea>
    </format>
    <format dxfId="9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6FC27-B4C4-4378-91BE-CCE95E9ED8F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M8" firstHeaderRow="0" firstDataRow="1" firstDataCol="1"/>
  <pivotFields count="39"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Count of Jan-24" fld="3" subtotal="count" baseField="0" baseItem="0"/>
    <dataField name="Count of Feb-24" fld="4" subtotal="count" baseField="0" baseItem="0"/>
    <dataField name="Count of Mar-24" fld="5" subtotal="count" baseField="0" baseItem="0"/>
    <dataField name="Count of Apr-24" fld="6" subtotal="count" baseField="0" baseItem="0"/>
    <dataField name="Count of May-24" fld="7" subtotal="count" baseField="0" baseItem="0"/>
    <dataField name="Count of Jun-24" fld="8" subtotal="count" baseField="0" baseItem="0"/>
    <dataField name="Count of Jul-24" fld="9" subtotal="count" baseField="0" baseItem="0"/>
    <dataField name="Count of Aug-24" fld="10" subtotal="count" baseField="0" baseItem="0"/>
    <dataField name="Count of Sep-24" fld="11" subtotal="count" baseField="0" baseItem="0"/>
    <dataField name="Count of Oct-24" fld="12" subtotal="count" baseField="0" baseItem="0"/>
    <dataField name="Count of Nov-24" fld="13" subtotal="count" baseField="0" baseItem="0"/>
    <dataField name="Count of Dec-24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F5B51-3F9C-4315-9945-7174F223FE4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M15" firstHeaderRow="0" firstDataRow="1" firstDataCol="1"/>
  <pivotFields count="39"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an-24" fld="3" baseField="0" baseItem="0"/>
    <dataField name="Sum of Feb-24" fld="4" baseField="0" baseItem="0"/>
    <dataField name="Sum of Mar-24" fld="5" baseField="0" baseItem="0"/>
    <dataField name="Sum of Apr-24" fld="6" baseField="0" baseItem="0"/>
    <dataField name="Sum of May-24" fld="7" baseField="0" baseItem="0"/>
    <dataField name="Sum of Jun-24" fld="8" baseField="0" baseItem="0"/>
    <dataField name="Sum of Jul-24" fld="9" baseField="0" baseItem="0"/>
    <dataField name="Sum of Aug-24" fld="10" baseField="0" baseItem="0"/>
    <dataField name="Sum of Sep-24" fld="11" baseField="0" baseItem="0"/>
    <dataField name="Sum of Oct-24" fld="12" baseField="0" baseItem="0"/>
    <dataField name="Sum of Nov-24" fld="13" baseField="0" baseItem="0"/>
    <dataField name="Sum of Dec-24" fld="14" baseField="0" baseItem="0"/>
  </dataFields>
  <formats count="3">
    <format dxfId="93">
      <pivotArea outline="0" collapsedLevelsAreSubtotals="1" fieldPosition="0"/>
    </format>
    <format dxfId="92">
      <pivotArea dataOnly="0" labelOnly="1" outline="0" fieldPosition="0">
        <references count="1">
          <reference field="1" count="0"/>
        </references>
      </pivotArea>
    </format>
    <format dxfId="9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DFF35-B5D7-4C97-8276-F798568381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M83" firstHeaderRow="0" firstDataRow="1" firstDataCol="1" rowPageCount="1" colPageCount="1"/>
  <pivotFields count="39">
    <pivotField axis="axisRow" compact="0" outline="0" showAll="0">
      <items count="141">
        <item sd="0" m="1" x="124"/>
        <item sd="0" m="1" x="126"/>
        <item sd="0" x="47"/>
        <item sd="0" m="1" x="128"/>
        <item sd="0" x="48"/>
        <item m="1" x="129"/>
        <item m="1" x="130"/>
        <item m="1" x="137"/>
        <item x="59"/>
        <item m="1" x="138"/>
        <item m="1" x="134"/>
        <item x="6"/>
        <item x="54"/>
        <item m="1" x="127"/>
        <item x="52"/>
        <item x="7"/>
        <item m="1" x="125"/>
        <item m="1" x="132"/>
        <item m="1" x="133"/>
        <item x="56"/>
        <item x="77"/>
        <item m="1" x="114"/>
        <item m="1" x="139"/>
        <item m="1" x="135"/>
        <item m="1" x="131"/>
        <item m="1" x="136"/>
        <item m="1" x="120"/>
        <item x="4"/>
        <item x="5"/>
        <item x="17"/>
        <item x="8"/>
        <item x="20"/>
        <item x="21"/>
        <item x="22"/>
        <item x="25"/>
        <item x="26"/>
        <item x="27"/>
        <item x="29"/>
        <item m="1" x="117"/>
        <item x="23"/>
        <item m="1" x="122"/>
        <item m="1" x="123"/>
        <item x="28"/>
        <item x="1"/>
        <item m="1" x="115"/>
        <item x="24"/>
        <item x="14"/>
        <item m="1" x="118"/>
        <item m="1" x="108"/>
        <item m="1" x="119"/>
        <item m="1" x="121"/>
        <item x="13"/>
        <item m="1" x="80"/>
        <item m="1" x="116"/>
        <item m="1" x="113"/>
        <item x="33"/>
        <item x="18"/>
        <item x="32"/>
        <item x="11"/>
        <item x="53"/>
        <item x="15"/>
        <item m="1" x="112"/>
        <item x="3"/>
        <item m="1" x="111"/>
        <item x="2"/>
        <item x="49"/>
        <item m="1" x="98"/>
        <item m="1" x="94"/>
        <item m="1" x="95"/>
        <item m="1" x="104"/>
        <item x="30"/>
        <item m="1" x="110"/>
        <item x="31"/>
        <item x="39"/>
        <item m="1" x="109"/>
        <item m="1" x="97"/>
        <item m="1" x="86"/>
        <item x="45"/>
        <item m="1" x="106"/>
        <item m="1" x="107"/>
        <item m="1" x="96"/>
        <item m="1" x="84"/>
        <item m="1" x="103"/>
        <item x="36"/>
        <item x="10"/>
        <item x="19"/>
        <item m="1" x="105"/>
        <item x="38"/>
        <item x="44"/>
        <item x="37"/>
        <item m="1" x="101"/>
        <item m="1" x="102"/>
        <item m="1" x="85"/>
        <item x="9"/>
        <item x="34"/>
        <item x="55"/>
        <item m="1" x="99"/>
        <item m="1" x="100"/>
        <item m="1" x="90"/>
        <item x="40"/>
        <item m="1" x="87"/>
        <item m="1" x="88"/>
        <item m="1" x="89"/>
        <item m="1" x="92"/>
        <item m="1" x="93"/>
        <item x="57"/>
        <item x="46"/>
        <item x="65"/>
        <item x="51"/>
        <item x="12"/>
        <item m="1" x="91"/>
        <item x="0"/>
        <item m="1" x="81"/>
        <item x="50"/>
        <item x="58"/>
        <item x="60"/>
        <item x="63"/>
        <item x="66"/>
        <item x="61"/>
        <item x="62"/>
        <item x="43"/>
        <item m="1" x="82"/>
        <item m="1" x="83"/>
        <item x="67"/>
        <item x="68"/>
        <item x="41"/>
        <item x="69"/>
        <item x="70"/>
        <item x="71"/>
        <item x="72"/>
        <item x="35"/>
        <item x="73"/>
        <item x="74"/>
        <item x="64"/>
        <item x="75"/>
        <item x="76"/>
        <item x="16"/>
        <item m="1" x="79"/>
        <item x="78"/>
        <item x="42"/>
        <item t="default"/>
      </items>
    </pivotField>
    <pivotField axis="axisPage" compact="0" outline="0" showAll="0">
      <items count="5">
        <item sd="0" x="1"/>
        <item sd="0" x="0"/>
        <item x="3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80">
    <i>
      <x v="2"/>
    </i>
    <i>
      <x v="4"/>
    </i>
    <i>
      <x v="8"/>
    </i>
    <i>
      <x v="11"/>
    </i>
    <i>
      <x v="12"/>
    </i>
    <i>
      <x v="14"/>
    </i>
    <i>
      <x v="15"/>
    </i>
    <i>
      <x v="19"/>
    </i>
    <i>
      <x v="20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2"/>
    </i>
    <i>
      <x v="43"/>
    </i>
    <i>
      <x v="45"/>
    </i>
    <i>
      <x v="46"/>
    </i>
    <i>
      <x v="51"/>
    </i>
    <i>
      <x v="55"/>
    </i>
    <i>
      <x v="56"/>
    </i>
    <i>
      <x v="57"/>
    </i>
    <i>
      <x v="58"/>
    </i>
    <i>
      <x v="59"/>
    </i>
    <i>
      <x v="60"/>
    </i>
    <i>
      <x v="62"/>
    </i>
    <i>
      <x v="64"/>
    </i>
    <i>
      <x v="65"/>
    </i>
    <i>
      <x v="70"/>
    </i>
    <i>
      <x v="72"/>
    </i>
    <i>
      <x v="73"/>
    </i>
    <i>
      <x v="77"/>
    </i>
    <i>
      <x v="83"/>
    </i>
    <i>
      <x v="84"/>
    </i>
    <i>
      <x v="85"/>
    </i>
    <i>
      <x v="87"/>
    </i>
    <i>
      <x v="88"/>
    </i>
    <i>
      <x v="89"/>
    </i>
    <i>
      <x v="93"/>
    </i>
    <i>
      <x v="94"/>
    </i>
    <i>
      <x v="95"/>
    </i>
    <i>
      <x v="99"/>
    </i>
    <i>
      <x v="105"/>
    </i>
    <i>
      <x v="106"/>
    </i>
    <i>
      <x v="107"/>
    </i>
    <i>
      <x v="108"/>
    </i>
    <i>
      <x v="109"/>
    </i>
    <i>
      <x v="111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8"/>
    </i>
    <i>
      <x v="139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1" hier="-1"/>
  </pageFields>
  <dataFields count="12">
    <dataField name="Sum of Jan-24" fld="3" baseField="0" baseItem="0"/>
    <dataField name="Sum of Feb-24" fld="4" baseField="0" baseItem="0"/>
    <dataField name="Sum of Mar-24" fld="5" baseField="0" baseItem="0"/>
    <dataField name="Sum of Apr-24" fld="6" baseField="0" baseItem="0"/>
    <dataField name="Sum of May-24" fld="7" baseField="0" baseItem="0"/>
    <dataField name="Sum of Jun-24" fld="8" baseField="0" baseItem="0"/>
    <dataField name="Sum of Jul-24" fld="9" baseField="0" baseItem="0"/>
    <dataField name="Sum of Aug-24" fld="10" baseField="0" baseItem="0"/>
    <dataField name="Sum of Sep-24" fld="11" baseField="0" baseItem="0"/>
    <dataField name="Sum of Oct-24" fld="12" baseField="0" baseItem="0"/>
    <dataField name="Sum of Nov-24" fld="13" baseField="0" baseItem="0"/>
    <dataField name="Sum of Dec-24" fld="14" baseField="0" baseItem="0"/>
  </dataFields>
  <formats count="6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0" type="button" dataOnly="0" labelOnly="1" outline="0" axis="axisRow" fieldPosition="0"/>
    </format>
    <format dxfId="87">
      <pivotArea dataOnly="0" labelOnly="1" outline="0" fieldPosition="0">
        <references count="1">
          <reference field="0" count="0"/>
        </references>
      </pivotArea>
    </format>
    <format dxfId="86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76431-BAB0-4C04-86B3-FD807335C4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0:M15" firstHeaderRow="0" firstDataRow="1" firstDataCol="1"/>
  <pivotFields count="39"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an-26" fld="27" baseField="1" baseItem="0"/>
    <dataField name="Sum of Feb-26" fld="28" baseField="1" baseItem="0"/>
    <dataField name="Sum of Mar-26" fld="29" baseField="1" baseItem="0"/>
    <dataField name="Sum of Apr-26" fld="30" baseField="1" baseItem="0"/>
    <dataField name="Sum of May-26" fld="31" baseField="1" baseItem="0"/>
    <dataField name="Sum of Jun-26" fld="32" baseField="1" baseItem="0"/>
    <dataField name="Sum of Jul-26" fld="33" baseField="1" baseItem="0"/>
    <dataField name="Sum of Aug-26" fld="34" baseField="1" baseItem="0"/>
    <dataField name="Sum of Sep-26" fld="35" baseField="1" baseItem="0"/>
    <dataField name="Sum of Oct-26" fld="36" baseField="1" baseItem="0"/>
    <dataField name="Sum of Nov-26" fld="37" baseField="1" baseItem="0"/>
    <dataField name="Sum of Dec-26" fld="38" baseField="1" baseItem="0"/>
  </dataFields>
  <formats count="2">
    <format dxfId="84">
      <pivotArea outline="0" collapsedLevelsAreSubtotals="1" fieldPosition="0"/>
    </format>
    <format dxfId="8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D051E-EA63-4782-B91B-A1130063CB9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M8" firstHeaderRow="0" firstDataRow="1" firstDataCol="1"/>
  <pivotFields count="39"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Count of Jan-26" fld="27" subtotal="count" baseField="0" baseItem="0"/>
    <dataField name="Count of Feb-26" fld="28" subtotal="count" baseField="0" baseItem="0"/>
    <dataField name="Count of Mar-26" fld="29" subtotal="count" baseField="0" baseItem="0"/>
    <dataField name="Count of Apr-26" fld="30" subtotal="count" baseField="0" baseItem="0"/>
    <dataField name="Count of May-26" fld="31" subtotal="count" baseField="0" baseItem="0"/>
    <dataField name="Count of Jun-26" fld="32" subtotal="count" baseField="0" baseItem="0"/>
    <dataField name="Count of Jul-26" fld="33" subtotal="count" baseField="0" baseItem="0"/>
    <dataField name="Count of Aug-26" fld="34" subtotal="count" baseField="0" baseItem="0"/>
    <dataField name="Count of Sep-26" fld="35" subtotal="count" baseField="0" baseItem="0"/>
    <dataField name="Count of Oct-26" fld="36" subtotal="count" baseField="0" baseItem="0"/>
    <dataField name="Count of Nov-26" fld="37" subtotal="count" baseField="0" baseItem="0"/>
    <dataField name="Count of Dec-26" fld="3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4E001-DA62-4CA4-B817-EA01ED3726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M83" firstHeaderRow="0" firstDataRow="1" firstDataCol="1" rowPageCount="1" colPageCount="1"/>
  <pivotFields count="39">
    <pivotField axis="axisRow" compact="0" outline="0" showAll="0">
      <items count="141">
        <item sd="0" m="1" x="124"/>
        <item sd="0" m="1" x="126"/>
        <item sd="0" x="47"/>
        <item sd="0" m="1" x="128"/>
        <item sd="0" x="48"/>
        <item m="1" x="129"/>
        <item sd="0" m="1" x="130"/>
        <item m="1" x="137"/>
        <item sd="0" x="59"/>
        <item m="1" x="138"/>
        <item sd="0" m="1" x="134"/>
        <item sd="0" x="6"/>
        <item sd="0" x="54"/>
        <item sd="0" m="1" x="127"/>
        <item sd="0" x="52"/>
        <item sd="0" x="7"/>
        <item sd="0" m="1" x="125"/>
        <item sd="0" m="1" x="132"/>
        <item sd="0" m="1" x="133"/>
        <item x="56"/>
        <item x="77"/>
        <item m="1" x="114"/>
        <item m="1" x="139"/>
        <item m="1" x="135"/>
        <item m="1" x="131"/>
        <item m="1" x="136"/>
        <item m="1" x="120"/>
        <item x="4"/>
        <item x="5"/>
        <item x="17"/>
        <item x="8"/>
        <item x="20"/>
        <item x="21"/>
        <item x="22"/>
        <item x="25"/>
        <item x="26"/>
        <item x="27"/>
        <item x="29"/>
        <item m="1" x="117"/>
        <item x="23"/>
        <item m="1" x="122"/>
        <item m="1" x="123"/>
        <item x="28"/>
        <item x="1"/>
        <item m="1" x="115"/>
        <item x="24"/>
        <item x="14"/>
        <item m="1" x="118"/>
        <item m="1" x="108"/>
        <item m="1" x="119"/>
        <item m="1" x="121"/>
        <item x="13"/>
        <item m="1" x="80"/>
        <item m="1" x="116"/>
        <item m="1" x="113"/>
        <item x="33"/>
        <item x="18"/>
        <item x="32"/>
        <item x="11"/>
        <item x="53"/>
        <item x="15"/>
        <item m="1" x="112"/>
        <item x="3"/>
        <item m="1" x="111"/>
        <item x="2"/>
        <item x="49"/>
        <item m="1" x="98"/>
        <item m="1" x="94"/>
        <item m="1" x="95"/>
        <item m="1" x="104"/>
        <item x="30"/>
        <item m="1" x="110"/>
        <item x="31"/>
        <item x="39"/>
        <item m="1" x="109"/>
        <item m="1" x="97"/>
        <item m="1" x="86"/>
        <item x="45"/>
        <item m="1" x="106"/>
        <item m="1" x="107"/>
        <item m="1" x="96"/>
        <item m="1" x="84"/>
        <item m="1" x="103"/>
        <item x="36"/>
        <item x="10"/>
        <item x="19"/>
        <item m="1" x="105"/>
        <item x="38"/>
        <item x="44"/>
        <item x="37"/>
        <item m="1" x="101"/>
        <item m="1" x="102"/>
        <item m="1" x="85"/>
        <item x="9"/>
        <item x="34"/>
        <item x="55"/>
        <item m="1" x="99"/>
        <item m="1" x="100"/>
        <item m="1" x="90"/>
        <item x="40"/>
        <item m="1" x="87"/>
        <item m="1" x="88"/>
        <item m="1" x="89"/>
        <item m="1" x="92"/>
        <item m="1" x="93"/>
        <item x="57"/>
        <item x="46"/>
        <item x="65"/>
        <item x="51"/>
        <item x="12"/>
        <item m="1" x="91"/>
        <item x="0"/>
        <item m="1" x="81"/>
        <item x="50"/>
        <item x="58"/>
        <item x="60"/>
        <item x="63"/>
        <item x="66"/>
        <item x="61"/>
        <item x="62"/>
        <item x="43"/>
        <item m="1" x="82"/>
        <item m="1" x="83"/>
        <item x="67"/>
        <item x="68"/>
        <item x="41"/>
        <item x="69"/>
        <item x="70"/>
        <item x="71"/>
        <item x="72"/>
        <item x="35"/>
        <item x="73"/>
        <item x="74"/>
        <item x="64"/>
        <item x="75"/>
        <item x="76"/>
        <item x="16"/>
        <item m="1" x="79"/>
        <item x="78"/>
        <item x="42"/>
        <item t="default"/>
      </items>
    </pivotField>
    <pivotField axis="axisPage" compact="0" outline="0" showAll="0">
      <items count="5">
        <item sd="0" x="1"/>
        <item sd="0"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80">
    <i>
      <x v="2"/>
    </i>
    <i>
      <x v="4"/>
    </i>
    <i>
      <x v="8"/>
    </i>
    <i>
      <x v="11"/>
    </i>
    <i>
      <x v="12"/>
    </i>
    <i>
      <x v="14"/>
    </i>
    <i>
      <x v="15"/>
    </i>
    <i>
      <x v="19"/>
    </i>
    <i>
      <x v="20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2"/>
    </i>
    <i>
      <x v="43"/>
    </i>
    <i>
      <x v="45"/>
    </i>
    <i>
      <x v="46"/>
    </i>
    <i>
      <x v="51"/>
    </i>
    <i>
      <x v="55"/>
    </i>
    <i>
      <x v="56"/>
    </i>
    <i>
      <x v="57"/>
    </i>
    <i>
      <x v="58"/>
    </i>
    <i>
      <x v="59"/>
    </i>
    <i>
      <x v="60"/>
    </i>
    <i>
      <x v="62"/>
    </i>
    <i>
      <x v="64"/>
    </i>
    <i>
      <x v="65"/>
    </i>
    <i>
      <x v="70"/>
    </i>
    <i>
      <x v="72"/>
    </i>
    <i>
      <x v="73"/>
    </i>
    <i>
      <x v="77"/>
    </i>
    <i>
      <x v="83"/>
    </i>
    <i>
      <x v="84"/>
    </i>
    <i>
      <x v="85"/>
    </i>
    <i>
      <x v="87"/>
    </i>
    <i>
      <x v="88"/>
    </i>
    <i>
      <x v="89"/>
    </i>
    <i>
      <x v="93"/>
    </i>
    <i>
      <x v="94"/>
    </i>
    <i>
      <x v="95"/>
    </i>
    <i>
      <x v="99"/>
    </i>
    <i>
      <x v="105"/>
    </i>
    <i>
      <x v="106"/>
    </i>
    <i>
      <x v="107"/>
    </i>
    <i>
      <x v="108"/>
    </i>
    <i>
      <x v="109"/>
    </i>
    <i>
      <x v="111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8"/>
    </i>
    <i>
      <x v="139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1" hier="-1"/>
  </pageFields>
  <dataFields count="12">
    <dataField name="Sum of Jan-26" fld="27" baseField="0" baseItem="72"/>
    <dataField name="Sum of Feb-26" fld="28" baseField="0" baseItem="72"/>
    <dataField name="Sum of Mar-26" fld="29" baseField="0" baseItem="72"/>
    <dataField name="Sum of Apr-26" fld="30" baseField="0" baseItem="72"/>
    <dataField name="Sum of May-26" fld="31" baseField="0" baseItem="72"/>
    <dataField name="Sum of Jun-26" fld="32" baseField="0" baseItem="72"/>
    <dataField name="Sum of Jul-26" fld="33" baseField="0" baseItem="72"/>
    <dataField name="Sum of Aug-26" fld="34" baseField="0" baseItem="72"/>
    <dataField name="Sum of Sep-26" fld="35" baseField="0" baseItem="72"/>
    <dataField name="Sum of Oct-26" fld="36" baseField="0" baseItem="72"/>
    <dataField name="Sum of Nov-26" fld="37" baseField="0" baseItem="72"/>
    <dataField name="Sum of Dec-26" fld="38" baseField="0" baseItem="72"/>
  </dataFields>
  <formats count="6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0" type="button" dataOnly="0" labelOnly="1" outline="0" axis="axisRow" fieldPosition="0"/>
    </format>
    <format dxfId="79">
      <pivotArea dataOnly="0" labelOnly="1" outline="0" fieldPosition="0">
        <references count="1">
          <reference field="0" count="0"/>
        </references>
      </pivotArea>
    </format>
    <format dxfId="78">
      <pivotArea dataOnly="0" labelOnly="1" grandRow="1" outline="0" fieldPosition="0"/>
    </format>
    <format dxfId="77">
      <pivotArea outline="0" fieldPosition="0">
        <references count="2">
          <reference field="4294967294" count="1" selected="0">
            <x v="9"/>
          </reference>
          <reference field="0" count="1" selected="0">
            <x v="1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FFA35-E6C4-4269-906D-E626BA45F98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3:M28" firstHeaderRow="0" firstDataRow="1" firstDataCol="1"/>
  <pivotFields count="39"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an-24" fld="3" baseField="0" baseItem="0"/>
    <dataField name="Sum of Feb-24" fld="4" baseField="0" baseItem="0"/>
    <dataField name="Sum of Mar-24" fld="5" baseField="0" baseItem="0"/>
    <dataField name="Sum of Apr-24" fld="6" baseField="0" baseItem="0"/>
    <dataField name="Sum of May-24" fld="7" baseField="0" baseItem="0"/>
    <dataField name="Sum of Jun-24" fld="8" baseField="0" baseItem="0"/>
    <dataField name="Sum of Jul-24" fld="9" baseField="0" baseItem="0"/>
    <dataField name="Sum of Aug-24" fld="10" baseField="0" baseItem="0"/>
    <dataField name="Sum of Sep-24" fld="11" baseField="0" baseItem="0"/>
    <dataField name="Sum of Oct-24" fld="12" baseField="0" baseItem="0"/>
    <dataField name="Sum of Nov-24" fld="13" baseField="0" baseItem="0"/>
    <dataField name="Sum of Dec-24" fld="14" baseField="0" baseItem="0"/>
  </dataFields>
  <formats count="16">
    <format dxfId="15">
      <pivotArea outline="0" collapsedLevelsAreSubtotals="1" fieldPosition="0"/>
    </format>
    <format dxfId="14">
      <pivotArea dataOnly="0" labelOnly="1" outline="0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field="1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outline="0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">
      <pivotArea field="1" type="button" dataOnly="0" labelOnly="1" outline="0" axis="axisRow" fieldPosition="0"/>
    </format>
    <format dxfId="1">
      <pivotArea dataOnly="0" labelOnly="1" outline="0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E6007-DF0E-49CA-8517-CF6B5288579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9:M34" firstHeaderRow="0" firstDataRow="1" firstDataCol="1"/>
  <pivotFields count="39"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an-25" fld="15" baseField="0" baseItem="0"/>
    <dataField name="Sum of Feb-25" fld="16" baseField="0" baseItem="0"/>
    <dataField name="Sum of Mar-25" fld="17" baseField="0" baseItem="0"/>
    <dataField name="Sum of Apr-25" fld="18" baseField="0" baseItem="0"/>
    <dataField name="Sum of May-25" fld="19" baseField="0" baseItem="0"/>
    <dataField name="Sum of Jun-25" fld="20" baseField="0" baseItem="0"/>
    <dataField name="Sum of Jul-25" fld="21" baseField="0" baseItem="0"/>
    <dataField name="Sum of Aug-25" fld="22" baseField="0" baseItem="0"/>
    <dataField name="Sum of Sep-25" fld="23" baseField="0" baseItem="0"/>
    <dataField name="Sum of Oct-25" fld="24" baseField="0" baseItem="0"/>
    <dataField name="Sum of Nov-25" fld="25" baseField="0" baseItem="0"/>
    <dataField name="Sum of Dec-25" fld="26" baseField="0" baseItem="0"/>
  </dataFields>
  <formats count="12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dataOnly="0" labelOnly="1" outline="0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8">
      <pivotArea field="1" type="button" dataOnly="0" labelOnly="1" outline="0" axis="axisRow" fieldPosition="0"/>
    </format>
    <format dxfId="17">
      <pivotArea dataOnly="0" labelOnly="1" outline="0" fieldPosition="0">
        <references count="1">
          <reference field="1" count="0"/>
        </references>
      </pivotArea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A67DB-F170-4248-A5B8-06A090C6F4D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M6" firstHeaderRow="0" firstDataRow="1" firstDataCol="1"/>
  <pivotFields count="39"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Count of Jan-24" fld="3" subtotal="count" baseField="0" baseItem="0"/>
    <dataField name="Count of Feb-24" fld="4" subtotal="count" baseField="0" baseItem="0"/>
    <dataField name="Count of Mar-24" fld="5" subtotal="count" baseField="0" baseItem="0"/>
    <dataField name="Count of Apr-24" fld="6" subtotal="count" baseField="0" baseItem="0"/>
    <dataField name="Count of May-24" fld="7" subtotal="count" baseField="0" baseItem="0"/>
    <dataField name="Count of Jun-24" fld="8" subtotal="count" baseField="0" baseItem="0"/>
    <dataField name="Count of Jul-24" fld="9" subtotal="count" baseField="0" baseItem="0"/>
    <dataField name="Count of Aug-24" fld="10" subtotal="count" baseField="0" baseItem="0"/>
    <dataField name="Count of Sep-24" fld="11" subtotal="count" baseField="0" baseItem="0"/>
    <dataField name="Count of Oct-24" fld="12" subtotal="count" baseField="0" baseItem="0"/>
    <dataField name="Count of Nov-24" fld="13" subtotal="count" baseField="0" baseItem="0"/>
    <dataField name="Count of Dec-24" fld="14" subtotal="count" baseField="0" baseItem="0"/>
  </dataFields>
  <formats count="13">
    <format dxfId="40">
      <pivotArea field="1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outline="0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30">
      <pivotArea field="1" type="button" dataOnly="0" labelOnly="1" outline="0" axis="axisRow" fieldPosition="0"/>
    </format>
    <format dxfId="29">
      <pivotArea dataOnly="0" labelOnly="1" outline="0" fieldPosition="0">
        <references count="1">
          <reference field="1" count="0"/>
        </references>
      </pivotArea>
    </format>
    <format dxfId="2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182E2-47EC-43DA-9ECA-44D0BAF5A2B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5:M40" firstHeaderRow="0" firstDataRow="1" firstDataCol="1"/>
  <pivotFields count="39"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an-26" fld="27" baseField="1" baseItem="0"/>
    <dataField name="Sum of Feb-26" fld="28" baseField="1" baseItem="0"/>
    <dataField name="Sum of Mar-26" fld="29" baseField="1" baseItem="0"/>
    <dataField name="Sum of Apr-26" fld="30" baseField="1" baseItem="0"/>
    <dataField name="Sum of May-26" fld="31" baseField="1" baseItem="0"/>
    <dataField name="Sum of Jun-26" fld="32" baseField="1" baseItem="0"/>
    <dataField name="Sum of Jul-26" fld="33" baseField="1" baseItem="0"/>
    <dataField name="Sum of Aug-26" fld="34" baseField="1" baseItem="0"/>
    <dataField name="Sum of Sep-26" fld="35" baseField="1" baseItem="0"/>
    <dataField name="Sum of Oct-26" fld="36" baseField="1" baseItem="0"/>
    <dataField name="Sum of Nov-26" fld="37" baseField="1" baseItem="0"/>
    <dataField name="Sum of Dec-26" fld="38" baseField="1" baseItem="0"/>
  </dataFields>
  <formats count="14">
    <format dxfId="54">
      <pivotArea outline="0" collapsedLevelsAreSubtotals="1" fieldPosition="0"/>
    </format>
    <format dxfId="53">
      <pivotArea dataOnly="0" labelOnly="1" outline="0" fieldPosition="0">
        <references count="1">
          <reference field="1" count="0"/>
        </references>
      </pivotArea>
    </format>
    <format dxfId="52">
      <pivotArea dataOnly="0" labelOnly="1" grandRow="1" outline="0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" type="button" dataOnly="0" labelOnly="1" outline="0" axis="axisRow" fieldPosition="0"/>
    </format>
    <format dxfId="48">
      <pivotArea dataOnly="0" labelOnly="1" outline="0" fieldPosition="0">
        <references count="1">
          <reference field="1" count="0"/>
        </references>
      </pivotArea>
    </format>
    <format dxfId="47">
      <pivotArea dataOnly="0" labelOnly="1" grandRow="1" outline="0" fieldPosition="0"/>
    </format>
    <format dxfId="46">
      <pivotArea field="1" type="button" dataOnly="0" labelOnly="1" outline="0" axis="axisRow" fieldPosition="0"/>
    </format>
    <format dxfId="45">
      <pivotArea dataOnly="0" labelOnly="1" outline="0" fieldPosition="0">
        <references count="1">
          <reference field="1" count="0"/>
        </references>
      </pivotArea>
    </format>
    <format dxfId="44">
      <pivotArea dataOnly="0" labelOnly="1" grandRow="1" outline="0" fieldPosition="0"/>
    </format>
    <format dxfId="43">
      <pivotArea field="1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1">
      <pivotArea dataOnly="0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EF709-99B3-4EBB-871D-BBB97C68DF2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M18" firstHeaderRow="0" firstDataRow="1" firstDataCol="1"/>
  <pivotFields count="39"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Count of Jan-26" fld="27" subtotal="count" baseField="0" baseItem="0"/>
    <dataField name="Count of Feb-26" fld="28" subtotal="count" baseField="0" baseItem="0"/>
    <dataField name="Count of Mar-26" fld="29" subtotal="count" baseField="0" baseItem="0"/>
    <dataField name="Count of Apr-26" fld="30" subtotal="count" baseField="0" baseItem="0"/>
    <dataField name="Count of May-26" fld="31" subtotal="count" baseField="0" baseItem="0"/>
    <dataField name="Count of Jun-26" fld="32" subtotal="count" baseField="0" baseItem="0"/>
    <dataField name="Count of Jul-26" fld="33" subtotal="count" baseField="0" baseItem="0"/>
    <dataField name="Count of Aug-26" fld="34" subtotal="count" baseField="0" baseItem="0"/>
    <dataField name="Count of Sep-26" fld="35" subtotal="count" baseField="0" baseItem="0"/>
    <dataField name="Count of Oct-26" fld="36" subtotal="count" baseField="0" baseItem="0"/>
    <dataField name="Count of Nov-26" fld="37" subtotal="count" baseField="0" baseItem="0"/>
    <dataField name="Count of Dec-26" fld="38" subtotal="count" baseField="0" baseItem="0"/>
  </dataFields>
  <formats count="13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1" type="button" dataOnly="0" labelOnly="1" outline="0" axis="axisRow" fieldPosition="0"/>
    </format>
    <format dxfId="64">
      <pivotArea dataOnly="0" labelOnly="1" outline="0" fieldPosition="0">
        <references count="1">
          <reference field="1" count="0"/>
        </references>
      </pivotArea>
    </format>
    <format dxfId="63">
      <pivotArea dataOnly="0" labelOnly="1" grandRow="1" outline="0" fieldPosition="0"/>
    </format>
    <format dxfId="62">
      <pivotArea field="1" type="button" dataOnly="0" labelOnly="1" outline="0" axis="axisRow" fieldPosition="0"/>
    </format>
    <format dxfId="61">
      <pivotArea dataOnly="0" labelOnly="1" outline="0" fieldPosition="0">
        <references count="1">
          <reference field="1" count="0"/>
        </references>
      </pivotArea>
    </format>
    <format dxfId="60">
      <pivotArea dataOnly="0" labelOnly="1" grandRow="1" outline="0" fieldPosition="0"/>
    </format>
    <format dxfId="59">
      <pivotArea field="1" type="button" dataOnly="0" labelOnly="1" outline="0" axis="axisRow" fieldPosition="0"/>
    </format>
    <format dxfId="58">
      <pivotArea grandRow="1" outline="0" collapsedLevelsAreSubtotals="1" fieldPosition="0"/>
    </format>
    <format dxfId="57">
      <pivotArea dataOnly="0" labelOnly="1" grandRow="1" outline="0" fieldPosition="0"/>
    </format>
    <format dxfId="56">
      <pivotArea field="1" type="button" dataOnly="0" labelOnly="1" outline="0" axis="axisRow" fieldPosition="0"/>
    </format>
    <format dxfId="5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19DE2-ADCB-450C-9485-3A0DDDFE1AD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:M12" firstHeaderRow="0" firstDataRow="1" firstDataCol="1"/>
  <pivotFields count="39"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Count of Jan-25" fld="15" subtotal="count" baseField="0" baseItem="0"/>
    <dataField name="Count of Feb-25" fld="16" subtotal="count" baseField="0" baseItem="0"/>
    <dataField name="Count of Mar-25" fld="17" subtotal="count" baseField="0" baseItem="0"/>
    <dataField name="Count of Apr-25" fld="18" subtotal="count" baseField="0" baseItem="0"/>
    <dataField name="Count of May-25" fld="19" subtotal="count" baseField="0" baseItem="0"/>
    <dataField name="Count of Jun-25" fld="20" subtotal="count" baseField="0" baseItem="0"/>
    <dataField name="Count of Jul-25" fld="21" subtotal="count" baseField="0" baseItem="0"/>
    <dataField name="Count of Aug-25" fld="22" subtotal="count" baseField="0" baseItem="0"/>
    <dataField name="Count of Sep-25" fld="23" subtotal="count" baseField="0" baseItem="0"/>
    <dataField name="Count of Oct-25" fld="24" subtotal="count" baseField="0" baseItem="0"/>
    <dataField name="Count of Nov-25" fld="25" subtotal="count" baseField="0" baseItem="0"/>
    <dataField name="Count of Dec-25" fld="26" subtotal="count" baseField="0" baseItem="0"/>
  </dataFields>
  <formats count="9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1" type="button" dataOnly="0" labelOnly="1" outline="0" axis="axisRow" fieldPosition="0"/>
    </format>
    <format dxfId="73">
      <pivotArea dataOnly="0" labelOnly="1" outline="0" fieldPosition="0">
        <references count="1">
          <reference field="1" count="0"/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0">
      <pivotArea field="1" type="button" dataOnly="0" labelOnly="1" outline="0" axis="axisRow" fieldPosition="0"/>
    </format>
    <format dxfId="69">
      <pivotArea dataOnly="0" labelOnly="1" outline="0" fieldPosition="0">
        <references count="1">
          <reference field="1" count="0"/>
        </references>
      </pivotArea>
    </format>
    <format dxfId="6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5DC969-E9F2-4CFD-8355-3D1E95C80180}" name="Table1" displayName="Table1" ref="A2:AM87" totalsRowShown="0" headerRowDxfId="143" dataDxfId="142">
  <autoFilter ref="A2:AM87" xr:uid="{595DC969-E9F2-4CFD-8355-3D1E95C80180}">
    <filterColumn colId="2">
      <filters>
        <filter val="Yes"/>
      </filters>
    </filterColumn>
  </autoFilter>
  <sortState xmlns:xlrd2="http://schemas.microsoft.com/office/spreadsheetml/2017/richdata2" ref="A3:AM72">
    <sortCondition ref="A2:A72"/>
  </sortState>
  <tableColumns count="39">
    <tableColumn id="1" xr3:uid="{AE8C7A0C-B0D8-47C5-83B5-5981928D0FE1}" name="Client" dataDxfId="141"/>
    <tableColumn id="2" xr3:uid="{FB7F917B-C32A-4AEE-B88C-8B822F5BC47F}" name="Type" dataDxfId="140"/>
    <tableColumn id="27" xr3:uid="{1FF2F530-6999-4965-B46B-1FEE056467AB}" name="Active" dataDxfId="139"/>
    <tableColumn id="3" xr3:uid="{79616598-9E05-459E-80B6-1B7B857E71C8}" name="Jan-24" dataDxfId="138"/>
    <tableColumn id="4" xr3:uid="{492B50C2-D0D2-4B63-81E2-8ABCB9299E30}" name="Feb-24" dataDxfId="137"/>
    <tableColumn id="5" xr3:uid="{87184962-3F5A-444C-A3E8-854264E665E4}" name="Mar-24" dataDxfId="136"/>
    <tableColumn id="6" xr3:uid="{7198E7D5-7F3D-4F2B-81A4-D4DEB9EDD8B7}" name="Apr-24" dataDxfId="135"/>
    <tableColumn id="7" xr3:uid="{2289A0F5-4687-4943-8C1C-4C8A1921409B}" name="May-24" dataDxfId="134"/>
    <tableColumn id="8" xr3:uid="{1583CEFF-EA13-41E3-8C59-A2AB07FE639F}" name="Jun-24" dataDxfId="133"/>
    <tableColumn id="9" xr3:uid="{E61040AD-8372-48AC-960A-E6213E411382}" name="Jul-24" dataDxfId="132"/>
    <tableColumn id="10" xr3:uid="{C0B4941C-0624-4158-B494-500228B35C49}" name="Aug-24" dataDxfId="131"/>
    <tableColumn id="11" xr3:uid="{7DBB3529-EAF1-4EFF-8660-F982AE714045}" name="Sep-24" dataDxfId="130"/>
    <tableColumn id="12" xr3:uid="{FCB3297B-3D84-4D77-9F29-E7DCE315954D}" name="Oct-24" dataDxfId="129"/>
    <tableColumn id="13" xr3:uid="{622D2DA6-6BB6-462F-BF7D-76187DE32D51}" name="Nov-24" dataDxfId="128"/>
    <tableColumn id="14" xr3:uid="{9A96EEEB-2A72-4082-AE89-2F9C158C67E2}" name="Dec-24" dataDxfId="127"/>
    <tableColumn id="15" xr3:uid="{39CEC02F-3BBC-449D-84E5-F13D88413669}" name="Jan-25" dataDxfId="126"/>
    <tableColumn id="16" xr3:uid="{BB7A51CB-721E-4744-B1BE-3442B7CE0381}" name="Feb-25" dataDxfId="125"/>
    <tableColumn id="17" xr3:uid="{FE23A507-71BD-40B4-817A-4CF5D2BB1345}" name="Mar-25" dataDxfId="124"/>
    <tableColumn id="18" xr3:uid="{AE6BE7CD-5F06-4F8D-BE78-530D16AE9737}" name="Apr-25" dataDxfId="123"/>
    <tableColumn id="19" xr3:uid="{8046ABE4-7330-4AC7-A9EF-9369F79A488A}" name="May-25" dataDxfId="122"/>
    <tableColumn id="20" xr3:uid="{0D335BC9-3475-45AF-9D28-1C1DDD13CCCE}" name="Jun-25" dataDxfId="121"/>
    <tableColumn id="21" xr3:uid="{2A54B702-23EB-4383-A050-A51537CA1067}" name="Jul-25" dataDxfId="120"/>
    <tableColumn id="22" xr3:uid="{A3ADF65B-BAC5-4B9A-92D4-CA9F629BB483}" name="Aug-25" dataDxfId="119"/>
    <tableColumn id="23" xr3:uid="{F615E40D-E3E3-4B86-9B7E-5D8614CCC661}" name="Sep-25" dataDxfId="118"/>
    <tableColumn id="24" xr3:uid="{FA677E03-E161-4872-BD57-141E50E949A7}" name="Oct-25" dataDxfId="117"/>
    <tableColumn id="25" xr3:uid="{BDA5B9FC-D0F8-4232-A7CF-EB5465B54396}" name="Nov-25" dataDxfId="116"/>
    <tableColumn id="26" xr3:uid="{1F1EC42B-5F73-4BE4-A53F-DCBCEDC4A57D}" name="Dec-25" dataDxfId="115"/>
    <tableColumn id="40" xr3:uid="{229F1C25-B3C5-4409-A047-4D2921B6990E}" name="Jan-26" dataDxfId="114"/>
    <tableColumn id="41" xr3:uid="{65293720-FC0E-49E2-87D1-F0551C1DD480}" name="Feb-26" dataDxfId="113"/>
    <tableColumn id="42" xr3:uid="{4CC4966C-C3E4-4042-8A12-7C4623C16970}" name="Mar-26" dataDxfId="112"/>
    <tableColumn id="43" xr3:uid="{0DFBC79F-9966-4A2F-8108-DE19404D765B}" name="Apr-26" dataDxfId="111"/>
    <tableColumn id="44" xr3:uid="{D16ECE49-E00C-435E-8532-FCFDFB9798ED}" name="May-26" dataDxfId="110"/>
    <tableColumn id="45" xr3:uid="{5BA8E6DF-D086-4585-9447-6544563B9749}" name="Jun-26" dataDxfId="109"/>
    <tableColumn id="46" xr3:uid="{68857358-DEB1-4E85-81B5-8B02C5F905BE}" name="Jul-26" dataDxfId="108"/>
    <tableColumn id="47" xr3:uid="{2F1C7DEE-0658-4501-AB0C-FEE48EE63375}" name="Aug-26" dataDxfId="107"/>
    <tableColumn id="48" xr3:uid="{CD3D81E1-638C-4668-8DFE-62B264B326D4}" name="Sep-26" dataDxfId="106"/>
    <tableColumn id="49" xr3:uid="{96CDC18F-2F0B-48FA-BB10-AFD41B9D4B6D}" name="Oct-26" dataDxfId="105"/>
    <tableColumn id="50" xr3:uid="{C022DFF0-0DF1-4D1E-8F48-F095F9813D0E}" name="Nov-26" dataDxfId="104"/>
    <tableColumn id="51" xr3:uid="{2BC58E5A-9565-4093-BB21-9B2B418E1006}" name="Dec-26" dataDxfId="103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D5104C-C0E0-47D3-81CC-9A72BB8C226B}" name="Table2" displayName="Table2" ref="A3:Z26" totalsRowShown="0">
  <autoFilter ref="A3:Z26" xr:uid="{CDD5104C-C0E0-47D3-81CC-9A72BB8C226B}"/>
  <sortState xmlns:xlrd2="http://schemas.microsoft.com/office/spreadsheetml/2017/richdata2" ref="A4:Z26">
    <sortCondition ref="M3:M26"/>
  </sortState>
  <tableColumns count="26">
    <tableColumn id="1" xr3:uid="{733A41CA-D44A-45A7-9768-D6EFCD116EAC}" name="Client"/>
    <tableColumn id="2" xr3:uid="{4D0969B5-2536-4345-BCFB-DC9393FC0D4F}" name="Type"/>
    <tableColumn id="3" xr3:uid="{023E3CCF-3082-4472-AF99-A90404EF5726}" name="Jan-24"/>
    <tableColumn id="4" xr3:uid="{E53C5A72-63AF-4282-A736-3FDCA2999669}" name="Feb-24"/>
    <tableColumn id="5" xr3:uid="{5574EBB4-7CE4-43DA-84B9-CF0C3C356ED4}" name="Mar-24"/>
    <tableColumn id="6" xr3:uid="{AF7DDE42-28C9-45CE-9139-0922A9BDA509}" name="Apr-24"/>
    <tableColumn id="7" xr3:uid="{1BB79ED3-2254-44F6-9F13-65E9F51FCC5A}" name="May-24"/>
    <tableColumn id="8" xr3:uid="{721E2137-58DB-43F0-BD17-0C592E59356D}" name="Jun-24"/>
    <tableColumn id="9" xr3:uid="{1C18C3E4-7F6E-4E4E-A382-EE69E42BD276}" name="Jul-24"/>
    <tableColumn id="10" xr3:uid="{4AE02654-C9F5-4EF5-AD8E-5429FEB1DA05}" name="Aug-24"/>
    <tableColumn id="11" xr3:uid="{D86972B8-C8DE-4650-96D6-97535265367B}" name="Sep-24"/>
    <tableColumn id="12" xr3:uid="{0E138169-CBA8-4003-ACB0-268CD444B603}" name="Oct-24"/>
    <tableColumn id="13" xr3:uid="{02DA829C-D4B2-41C1-93F4-A03FC40536E3}" name="Nov-24"/>
    <tableColumn id="14" xr3:uid="{4E90DC84-6AD2-443E-A43E-D8094FE3F78D}" name="Dec-24"/>
    <tableColumn id="15" xr3:uid="{6C555771-1959-410E-A405-832502876C26}" name="Jan-25"/>
    <tableColumn id="16" xr3:uid="{5D63113F-3E4C-43DB-BE08-F17D9E4688E0}" name="Feb-25"/>
    <tableColumn id="17" xr3:uid="{458ACD20-E0B3-4562-9093-57411CF2CAA5}" name="Mar-25"/>
    <tableColumn id="18" xr3:uid="{DCB6BE45-22B4-43C8-B8B6-85B733C829B6}" name="Apr-25"/>
    <tableColumn id="19" xr3:uid="{6265E540-1706-44AD-918D-4649D5F4B2A7}" name="May-25"/>
    <tableColumn id="20" xr3:uid="{30E360B2-8AA4-43FF-BDB7-6B379A08DCA4}" name="Jun-25"/>
    <tableColumn id="21" xr3:uid="{CABBDD50-7BE2-4F78-A832-3D3EB7E59FCA}" name="Jul-25"/>
    <tableColumn id="22" xr3:uid="{CE9283E4-B548-42FD-AB23-231CC3A5C174}" name="Aug-25"/>
    <tableColumn id="23" xr3:uid="{7C439282-AEEC-46D7-9B46-C3AD327FC7F3}" name="Sep-25"/>
    <tableColumn id="24" xr3:uid="{BE203B4E-4F7F-4579-BC56-61AB5B5AD9C6}" name="Oct-25"/>
    <tableColumn id="25" xr3:uid="{42A9F807-FC9C-4E41-A1A1-E4F30DAF0B7E}" name="Nov-25"/>
    <tableColumn id="26" xr3:uid="{F907ECA4-65B3-4341-8F03-586E89F765A4}" name="Dec-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594D12-EC4B-4214-9487-458BEC3867CE}" name="Table3" displayName="Table3" ref="A1:D14" totalsRowShown="0">
  <autoFilter ref="A1:D14" xr:uid="{43594D12-EC4B-4214-9487-458BEC3867CE}"/>
  <tableColumns count="4">
    <tableColumn id="1" xr3:uid="{E17D0A9D-76A3-4AAA-B5FF-4423EB4AA164}" name="DATE"/>
    <tableColumn id="2" xr3:uid="{02F44400-7731-4E8C-ADD0-DD05043557B7}" name="NAME"/>
    <tableColumn id="3" xr3:uid="{ADF4415F-71BE-457F-9725-09416A8A8615}" name="FEE"/>
    <tableColumn id="4" xr3:uid="{BEEDAC0A-1852-4B65-86C7-D5F8B5979C87}" name="NOTE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AFAFA8-3EB6-470D-9C39-C871C2E393F2}" name="Table4" displayName="Table4" ref="A3:AA57" totalsRowShown="0">
  <autoFilter ref="A3:AA57" xr:uid="{FBAFAFA8-3EB6-470D-9C39-C871C2E393F2}"/>
  <tableColumns count="27">
    <tableColumn id="1" xr3:uid="{258CB1DF-247D-4B41-A204-572E0D15E063}" name="Client"/>
    <tableColumn id="2" xr3:uid="{A95A81CC-06C0-4B9C-A1A9-231DC6CDE48A}" name="Type"/>
    <tableColumn id="3" xr3:uid="{7A75EC7C-D8AD-4AB6-8926-AD163884B2F9}" name="Active"/>
    <tableColumn id="4" xr3:uid="{5FFD0F0F-1B9A-4CE3-8DAB-A265B0F50034}" name="Jan-24"/>
    <tableColumn id="5" xr3:uid="{9639FFB3-C4E0-43EA-ADA0-C10366DFF282}" name="Feb-24"/>
    <tableColumn id="6" xr3:uid="{4E890829-E6EF-42F6-A9D8-CA40DA90CE8B}" name="Mar-24"/>
    <tableColumn id="7" xr3:uid="{5C332514-7525-46AA-9B65-7FCA9A01106F}" name="Apr-24"/>
    <tableColumn id="8" xr3:uid="{6E1005E1-0456-44BA-9303-0DF7DBBFFCAA}" name="May-24"/>
    <tableColumn id="9" xr3:uid="{BE34819E-C793-49A6-819F-62695876D1D0}" name="Jun-24"/>
    <tableColumn id="10" xr3:uid="{807C92AF-5A7F-438A-952C-196FA7E4FDBD}" name="Jul-24"/>
    <tableColumn id="11" xr3:uid="{E8A1EDC5-D377-4249-B4AA-D677505227E2}" name="Aug-24"/>
    <tableColumn id="12" xr3:uid="{F04F0848-7E2E-4B80-9701-C7C1DF29E2F8}" name="Sep-24"/>
    <tableColumn id="13" xr3:uid="{E31D331A-7010-4650-979A-B13B561F43DD}" name="Oct-24"/>
    <tableColumn id="14" xr3:uid="{8B6173A6-3FFA-4178-8B36-4CE4BB2254CD}" name="Nov-24"/>
    <tableColumn id="15" xr3:uid="{2AD7E530-0476-4876-86CB-FB71DD10352E}" name="Dec-24"/>
    <tableColumn id="16" xr3:uid="{032F1CA2-0A22-46C1-BBC4-74793FCB7E7A}" name="Jan-25"/>
    <tableColumn id="17" xr3:uid="{DCE55091-B17C-4C4B-8631-C7C4E74505CB}" name="Feb-25"/>
    <tableColumn id="18" xr3:uid="{0FF8E1AF-DC31-47AA-84B0-8ADF16BBE82A}" name="Mar-25"/>
    <tableColumn id="19" xr3:uid="{D62EEE0D-FC41-45A3-8C5C-8F258FE73BE9}" name="Apr-25"/>
    <tableColumn id="20" xr3:uid="{3AC8648A-0ADA-40E3-BC5D-146FDD02DAE1}" name="May-25"/>
    <tableColumn id="21" xr3:uid="{F9F395F8-D2FB-4CAE-9A09-750A3D217C66}" name="Jun-25"/>
    <tableColumn id="22" xr3:uid="{441032E8-AFFC-4CD8-9625-2C09BAD15E27}" name="Jul-25"/>
    <tableColumn id="23" xr3:uid="{648CE72F-2F4D-4CB5-B413-2FE797BE5C82}" name="Aug-25"/>
    <tableColumn id="24" xr3:uid="{94EBA36E-7EE8-4EC9-9F65-C2707EFE82EC}" name="Sep-25"/>
    <tableColumn id="25" xr3:uid="{D2736B19-C1C5-44B1-9ACB-7B5FCC993200}" name="Oct-25"/>
    <tableColumn id="26" xr3:uid="{455BD275-0A4E-4D79-AE62-B46B89F6FD04}" name="Nov-25"/>
    <tableColumn id="27" xr3:uid="{D49027F6-00BF-428E-8853-79984B73ED7B}" name="Dec-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DE31-7FE8-47DE-A151-02B30F1FC14B}">
  <dimension ref="A1:O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" sqref="J2"/>
    </sheetView>
  </sheetViews>
  <sheetFormatPr defaultRowHeight="15" x14ac:dyDescent="0.25"/>
  <cols>
    <col min="1" max="2" width="21.28515625" customWidth="1"/>
    <col min="3" max="7" width="7.42578125" customWidth="1"/>
    <col min="8" max="8" width="8.85546875" customWidth="1"/>
    <col min="9" max="10" width="10.140625" bestFit="1" customWidth="1"/>
    <col min="12" max="12" width="10.5703125" customWidth="1"/>
    <col min="13" max="13" width="10.140625" customWidth="1"/>
    <col min="14" max="14" width="14.140625" customWidth="1"/>
    <col min="15" max="15" width="10.140625" bestFit="1" customWidth="1"/>
  </cols>
  <sheetData>
    <row r="1" spans="1:15" x14ac:dyDescent="0.25">
      <c r="A1" s="1"/>
      <c r="B1" s="1"/>
      <c r="C1">
        <v>2024</v>
      </c>
      <c r="D1">
        <v>2024</v>
      </c>
      <c r="E1">
        <v>2024</v>
      </c>
      <c r="F1">
        <v>2024</v>
      </c>
      <c r="G1">
        <v>2024</v>
      </c>
      <c r="H1">
        <v>2024</v>
      </c>
      <c r="I1">
        <v>2024</v>
      </c>
      <c r="J1">
        <v>2024</v>
      </c>
      <c r="K1">
        <v>2024</v>
      </c>
      <c r="L1">
        <v>2024</v>
      </c>
      <c r="M1">
        <v>2024</v>
      </c>
      <c r="N1">
        <v>2024</v>
      </c>
      <c r="O1" s="4">
        <v>2025</v>
      </c>
    </row>
    <row r="2" spans="1:15" x14ac:dyDescent="0.25">
      <c r="A2" s="1" t="s">
        <v>0</v>
      </c>
      <c r="B2" s="1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1:15" x14ac:dyDescent="0.25">
      <c r="A3" t="s">
        <v>15</v>
      </c>
      <c r="B3" t="s">
        <v>16</v>
      </c>
      <c r="I3" s="2">
        <v>1650</v>
      </c>
      <c r="J3" s="2"/>
      <c r="K3" s="2"/>
      <c r="L3" s="2"/>
      <c r="M3" s="2"/>
      <c r="N3" s="2"/>
      <c r="O3" s="2"/>
    </row>
    <row r="4" spans="1:15" x14ac:dyDescent="0.25">
      <c r="A4" t="s">
        <v>17</v>
      </c>
      <c r="B4" t="s">
        <v>18</v>
      </c>
      <c r="I4" s="2"/>
      <c r="J4" s="2">
        <v>1250</v>
      </c>
      <c r="K4" s="2"/>
      <c r="L4" s="2"/>
      <c r="M4" s="2">
        <v>1250</v>
      </c>
      <c r="N4" s="2"/>
      <c r="O4" s="2">
        <v>1250</v>
      </c>
    </row>
    <row r="5" spans="1:15" x14ac:dyDescent="0.25">
      <c r="A5" t="s">
        <v>19</v>
      </c>
      <c r="B5" t="s">
        <v>18</v>
      </c>
      <c r="I5" s="2">
        <v>550</v>
      </c>
      <c r="J5" s="2"/>
      <c r="K5" s="2"/>
      <c r="L5" s="2"/>
      <c r="M5" s="2"/>
      <c r="N5" s="2"/>
      <c r="O5" s="2"/>
    </row>
    <row r="6" spans="1:15" x14ac:dyDescent="0.25">
      <c r="A6" t="s">
        <v>20</v>
      </c>
      <c r="B6" t="s">
        <v>18</v>
      </c>
      <c r="J6" s="2"/>
      <c r="K6" s="2"/>
      <c r="L6" s="6">
        <v>4820</v>
      </c>
      <c r="M6" s="2"/>
      <c r="N6" s="2"/>
      <c r="O6" s="2"/>
    </row>
    <row r="7" spans="1:15" x14ac:dyDescent="0.25">
      <c r="A7" t="s">
        <v>21</v>
      </c>
      <c r="B7" t="s">
        <v>18</v>
      </c>
      <c r="I7" s="2"/>
      <c r="J7" s="2"/>
      <c r="K7" s="2"/>
      <c r="L7" s="6">
        <v>1525</v>
      </c>
      <c r="M7" s="2"/>
      <c r="N7" s="2"/>
      <c r="O7" s="2"/>
    </row>
    <row r="8" spans="1:15" x14ac:dyDescent="0.25">
      <c r="A8" t="s">
        <v>22</v>
      </c>
      <c r="B8" t="s">
        <v>18</v>
      </c>
      <c r="I8" s="2"/>
      <c r="J8" s="6">
        <v>120</v>
      </c>
      <c r="K8" s="2"/>
      <c r="L8" s="2"/>
      <c r="M8" s="2"/>
      <c r="N8" s="2"/>
      <c r="O8" s="2"/>
    </row>
    <row r="9" spans="1:15" x14ac:dyDescent="0.25">
      <c r="A9" t="s">
        <v>23</v>
      </c>
      <c r="B9" t="s">
        <v>18</v>
      </c>
      <c r="I9" s="2"/>
      <c r="J9" s="2"/>
      <c r="K9" s="6">
        <v>480</v>
      </c>
      <c r="L9" s="2"/>
      <c r="M9" s="2"/>
      <c r="N9" s="2"/>
      <c r="O9" s="2"/>
    </row>
    <row r="10" spans="1:15" x14ac:dyDescent="0.25">
      <c r="A10" t="s">
        <v>24</v>
      </c>
      <c r="B10" t="s">
        <v>18</v>
      </c>
      <c r="I10" s="2"/>
      <c r="J10" s="2"/>
      <c r="K10" s="6">
        <v>300</v>
      </c>
      <c r="L10" s="2"/>
      <c r="M10" s="2"/>
      <c r="N10" s="2"/>
      <c r="O10" s="2"/>
    </row>
    <row r="11" spans="1:15" x14ac:dyDescent="0.25">
      <c r="B11" s="1" t="s">
        <v>25</v>
      </c>
    </row>
    <row r="12" spans="1:15" x14ac:dyDescent="0.25">
      <c r="A12" t="s">
        <v>26</v>
      </c>
    </row>
    <row r="13" spans="1:15" x14ac:dyDescent="0.25">
      <c r="A13" t="s">
        <v>27</v>
      </c>
    </row>
    <row r="14" spans="1:15" x14ac:dyDescent="0.25">
      <c r="A14" t="s">
        <v>28</v>
      </c>
    </row>
    <row r="15" spans="1:15" s="2" customFormat="1" x14ac:dyDescent="0.25">
      <c r="B15" s="7" t="s">
        <v>29</v>
      </c>
      <c r="I15" s="2">
        <f>SUM(I3:I10)</f>
        <v>2200</v>
      </c>
      <c r="J15" s="2">
        <f t="shared" ref="J15:O15" si="0">SUM(J3:J10)</f>
        <v>1370</v>
      </c>
      <c r="K15" s="2">
        <f t="shared" si="0"/>
        <v>780</v>
      </c>
      <c r="L15" s="2">
        <f t="shared" si="0"/>
        <v>6345</v>
      </c>
      <c r="M15" s="2">
        <f t="shared" si="0"/>
        <v>1250</v>
      </c>
      <c r="N15" s="2">
        <f t="shared" si="0"/>
        <v>0</v>
      </c>
      <c r="O15" s="2">
        <f t="shared" si="0"/>
        <v>1250</v>
      </c>
    </row>
    <row r="17" spans="14:14" x14ac:dyDescent="0.25">
      <c r="N17" s="5">
        <f>SUM(I15:N15)</f>
        <v>11945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E73D-A39D-44CF-8DB7-C2B2BB636538}">
  <dimension ref="A1:AN95"/>
  <sheetViews>
    <sheetView tabSelected="1" zoomScaleNormal="100" workbookViewId="0">
      <pane xSplit="3" ySplit="2" topLeftCell="AH13" activePane="bottomRight" state="frozen"/>
      <selection pane="topRight" activeCell="D1" sqref="D1"/>
      <selection pane="bottomLeft" activeCell="A3" sqref="A3"/>
      <selection pane="bottomRight" activeCell="AL81" sqref="AL81"/>
    </sheetView>
  </sheetViews>
  <sheetFormatPr defaultColWidth="9.140625" defaultRowHeight="13.5" customHeight="1" x14ac:dyDescent="0.25"/>
  <cols>
    <col min="1" max="1" width="33.7109375" style="10" customWidth="1"/>
    <col min="2" max="2" width="11.85546875" style="11" customWidth="1"/>
    <col min="3" max="3" width="10.28515625" style="10" customWidth="1"/>
    <col min="4" max="4" width="8.42578125" style="10" hidden="1" customWidth="1"/>
    <col min="5" max="5" width="8.7109375" style="10" hidden="1" customWidth="1"/>
    <col min="6" max="6" width="8.85546875" style="10" hidden="1" customWidth="1"/>
    <col min="7" max="7" width="8.5703125" style="10" hidden="1" customWidth="1"/>
    <col min="8" max="8" width="9" style="10" hidden="1" customWidth="1"/>
    <col min="9" max="9" width="8.42578125" style="10" hidden="1" customWidth="1"/>
    <col min="10" max="11" width="9.42578125" style="10" hidden="1" customWidth="1"/>
    <col min="12" max="12" width="8.85546875" style="10" hidden="1" customWidth="1"/>
    <col min="13" max="14" width="9.42578125" style="10" hidden="1" customWidth="1"/>
    <col min="15" max="15" width="8.85546875" style="10" hidden="1" customWidth="1"/>
    <col min="16" max="16" width="9.42578125" style="10" hidden="1" customWidth="1"/>
    <col min="17" max="17" width="8.7109375" style="10" hidden="1" customWidth="1"/>
    <col min="18" max="18" width="8.85546875" style="10" hidden="1" customWidth="1"/>
    <col min="19" max="19" width="9.85546875" style="10" hidden="1" customWidth="1"/>
    <col min="20" max="20" width="9" style="10" hidden="1" customWidth="1"/>
    <col min="21" max="21" width="8.85546875" style="10" hidden="1" customWidth="1"/>
    <col min="22" max="22" width="9.42578125" style="10" hidden="1" customWidth="1"/>
    <col min="23" max="23" width="8.7109375" style="10" hidden="1" customWidth="1"/>
    <col min="24" max="24" width="9.85546875" style="10" hidden="1" customWidth="1"/>
    <col min="25" max="25" width="9.42578125" style="10" hidden="1" customWidth="1"/>
    <col min="26" max="27" width="8.85546875" style="10" hidden="1" customWidth="1"/>
    <col min="28" max="29" width="9.140625" style="10" hidden="1" customWidth="1"/>
    <col min="30" max="31" width="9.42578125" style="10" hidden="1" customWidth="1"/>
    <col min="32" max="32" width="9.85546875" style="10" hidden="1" customWidth="1"/>
    <col min="33" max="33" width="11.42578125" style="10" hidden="1" customWidth="1"/>
    <col min="34" max="34" width="9.85546875" style="10" bestFit="1" customWidth="1"/>
    <col min="35" max="16384" width="9.140625" style="10"/>
  </cols>
  <sheetData>
    <row r="1" spans="1:39" x14ac:dyDescent="0.25">
      <c r="A1" s="9"/>
      <c r="B1" s="32"/>
      <c r="C1" s="9"/>
      <c r="P1" s="11"/>
    </row>
    <row r="2" spans="1:39" s="35" customFormat="1" x14ac:dyDescent="0.25">
      <c r="A2" s="33" t="s">
        <v>0</v>
      </c>
      <c r="B2" s="34" t="s">
        <v>30</v>
      </c>
      <c r="C2" s="33" t="s">
        <v>31</v>
      </c>
      <c r="D2" s="35" t="s">
        <v>32</v>
      </c>
      <c r="E2" s="35" t="s">
        <v>33</v>
      </c>
      <c r="F2" s="35" t="s">
        <v>34</v>
      </c>
      <c r="G2" s="35" t="s">
        <v>35</v>
      </c>
      <c r="H2" s="35" t="s">
        <v>36</v>
      </c>
      <c r="I2" s="35" t="s">
        <v>37</v>
      </c>
      <c r="J2" s="35" t="s">
        <v>38</v>
      </c>
      <c r="K2" s="35" t="s">
        <v>39</v>
      </c>
      <c r="L2" s="35" t="s">
        <v>40</v>
      </c>
      <c r="M2" s="35" t="s">
        <v>41</v>
      </c>
      <c r="N2" s="35" t="s">
        <v>42</v>
      </c>
      <c r="O2" s="35" t="s">
        <v>43</v>
      </c>
      <c r="P2" s="35" t="s">
        <v>44</v>
      </c>
      <c r="Q2" s="35" t="s">
        <v>45</v>
      </c>
      <c r="R2" s="35" t="s">
        <v>46</v>
      </c>
      <c r="S2" s="35" t="s">
        <v>47</v>
      </c>
      <c r="T2" s="35" t="s">
        <v>48</v>
      </c>
      <c r="U2" s="35" t="s">
        <v>49</v>
      </c>
      <c r="V2" s="35" t="s">
        <v>50</v>
      </c>
      <c r="W2" s="35" t="s">
        <v>51</v>
      </c>
      <c r="X2" s="35" t="s">
        <v>52</v>
      </c>
      <c r="Y2" s="35" t="s">
        <v>53</v>
      </c>
      <c r="Z2" s="35" t="s">
        <v>54</v>
      </c>
      <c r="AA2" s="35" t="s">
        <v>55</v>
      </c>
      <c r="AB2" s="36" t="s">
        <v>201</v>
      </c>
      <c r="AC2" s="36" t="s">
        <v>202</v>
      </c>
      <c r="AD2" s="36" t="s">
        <v>203</v>
      </c>
      <c r="AE2" s="36" t="s">
        <v>204</v>
      </c>
      <c r="AF2" s="36" t="s">
        <v>205</v>
      </c>
      <c r="AG2" s="62" t="s">
        <v>206</v>
      </c>
      <c r="AH2" s="36" t="s">
        <v>207</v>
      </c>
      <c r="AI2" s="36" t="s">
        <v>208</v>
      </c>
      <c r="AJ2" s="36" t="s">
        <v>209</v>
      </c>
      <c r="AK2" s="36" t="s">
        <v>210</v>
      </c>
      <c r="AL2" s="36" t="s">
        <v>211</v>
      </c>
      <c r="AM2" s="36" t="s">
        <v>212</v>
      </c>
    </row>
    <row r="3" spans="1:39" hidden="1" x14ac:dyDescent="0.25">
      <c r="A3" s="10" t="s">
        <v>251</v>
      </c>
      <c r="B3" s="11" t="s">
        <v>57</v>
      </c>
      <c r="C3" s="10" t="s">
        <v>63</v>
      </c>
      <c r="Y3" s="10">
        <v>1400</v>
      </c>
      <c r="Z3" s="25"/>
      <c r="AA3" s="25"/>
      <c r="AB3" s="25"/>
      <c r="AC3" s="10">
        <v>1400</v>
      </c>
    </row>
    <row r="4" spans="1:39" hidden="1" x14ac:dyDescent="0.25">
      <c r="A4" s="12" t="s">
        <v>56</v>
      </c>
      <c r="B4" s="21" t="s">
        <v>57</v>
      </c>
      <c r="C4" s="10" t="s">
        <v>63</v>
      </c>
      <c r="D4" s="12"/>
      <c r="E4" s="10">
        <v>160</v>
      </c>
    </row>
    <row r="5" spans="1:39" hidden="1" x14ac:dyDescent="0.25">
      <c r="A5" s="10" t="s">
        <v>59</v>
      </c>
      <c r="B5" s="21" t="s">
        <v>57</v>
      </c>
      <c r="C5" s="10" t="s">
        <v>63</v>
      </c>
      <c r="U5" s="25"/>
      <c r="V5" s="25"/>
      <c r="W5" s="25"/>
      <c r="X5" s="25"/>
      <c r="Z5" s="25"/>
      <c r="AB5" s="54"/>
      <c r="AF5" s="54"/>
      <c r="AG5" s="54"/>
      <c r="AM5" s="55">
        <v>280</v>
      </c>
    </row>
    <row r="6" spans="1:39" hidden="1" x14ac:dyDescent="0.25">
      <c r="A6" s="10" t="s">
        <v>60</v>
      </c>
      <c r="B6" s="11" t="s">
        <v>61</v>
      </c>
      <c r="C6" s="10" t="s">
        <v>63</v>
      </c>
      <c r="T6" s="25"/>
      <c r="U6" s="25"/>
      <c r="V6" s="25"/>
      <c r="W6" s="25"/>
      <c r="X6" s="25"/>
      <c r="Z6" s="25"/>
      <c r="AB6" s="54"/>
      <c r="AF6" s="54"/>
      <c r="AG6" s="54"/>
      <c r="AM6" s="55">
        <v>260</v>
      </c>
    </row>
    <row r="7" spans="1:39" hidden="1" x14ac:dyDescent="0.25">
      <c r="A7" s="10" t="s">
        <v>62</v>
      </c>
      <c r="B7" s="11" t="s">
        <v>57</v>
      </c>
      <c r="C7" s="10" t="s">
        <v>63</v>
      </c>
      <c r="M7" s="12"/>
      <c r="N7" s="12"/>
      <c r="O7" s="12"/>
      <c r="P7" s="12"/>
      <c r="R7" s="10">
        <v>560</v>
      </c>
      <c r="Y7" s="12"/>
    </row>
    <row r="8" spans="1:39" hidden="1" x14ac:dyDescent="0.25">
      <c r="A8" s="12" t="s">
        <v>64</v>
      </c>
      <c r="B8" s="21" t="s">
        <v>61</v>
      </c>
      <c r="C8" s="10" t="s">
        <v>63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R8" s="10">
        <v>160</v>
      </c>
    </row>
    <row r="9" spans="1:39" hidden="1" x14ac:dyDescent="0.25">
      <c r="A9" s="10" t="s">
        <v>65</v>
      </c>
      <c r="B9" s="11" t="s">
        <v>57</v>
      </c>
      <c r="C9" s="10" t="s">
        <v>63</v>
      </c>
      <c r="I9" s="10">
        <v>300</v>
      </c>
      <c r="J9" s="12"/>
      <c r="K9" s="12"/>
      <c r="L9" s="13"/>
      <c r="M9" s="12"/>
      <c r="N9" s="12"/>
      <c r="O9" s="12"/>
      <c r="P9" s="12"/>
    </row>
    <row r="10" spans="1:39" hidden="1" x14ac:dyDescent="0.25">
      <c r="A10" s="10" t="s">
        <v>66</v>
      </c>
      <c r="B10" s="11" t="s">
        <v>61</v>
      </c>
      <c r="C10" s="10" t="s">
        <v>63</v>
      </c>
      <c r="F10" s="10">
        <v>300</v>
      </c>
    </row>
    <row r="11" spans="1:39" hidden="1" x14ac:dyDescent="0.25">
      <c r="A11" s="10" t="s">
        <v>67</v>
      </c>
      <c r="B11" s="11" t="s">
        <v>61</v>
      </c>
      <c r="C11" s="10" t="s">
        <v>63</v>
      </c>
      <c r="L11" s="10">
        <v>1980</v>
      </c>
      <c r="R11" s="10">
        <v>180</v>
      </c>
    </row>
    <row r="12" spans="1:39" hidden="1" x14ac:dyDescent="0.25">
      <c r="A12" s="10" t="s">
        <v>239</v>
      </c>
      <c r="B12" s="11" t="s">
        <v>57</v>
      </c>
      <c r="C12" s="10" t="s">
        <v>63</v>
      </c>
      <c r="X12" s="25"/>
      <c r="Y12" s="25"/>
      <c r="Z12" s="25"/>
      <c r="AA12" s="26">
        <v>1178.25</v>
      </c>
      <c r="AB12" s="25"/>
    </row>
    <row r="13" spans="1:39" x14ac:dyDescent="0.25">
      <c r="A13" s="10" t="s">
        <v>68</v>
      </c>
      <c r="B13" s="11" t="s">
        <v>61</v>
      </c>
      <c r="C13" s="10" t="s">
        <v>58</v>
      </c>
      <c r="AD13" s="25"/>
      <c r="AE13" s="25"/>
      <c r="AF13" s="25"/>
      <c r="AG13" s="25"/>
      <c r="AH13" s="25"/>
      <c r="AI13" s="25">
        <v>2000</v>
      </c>
      <c r="AJ13" s="25">
        <v>1000</v>
      </c>
      <c r="AK13" s="25">
        <v>1000</v>
      </c>
    </row>
    <row r="14" spans="1:39" hidden="1" x14ac:dyDescent="0.25">
      <c r="A14" s="10" t="s">
        <v>69</v>
      </c>
      <c r="B14" s="11" t="s">
        <v>61</v>
      </c>
      <c r="C14" s="10" t="s">
        <v>63</v>
      </c>
      <c r="U14" s="25"/>
      <c r="V14" s="25"/>
      <c r="W14" s="25"/>
      <c r="X14" s="25"/>
      <c r="Y14" s="25"/>
      <c r="Z14" s="25"/>
      <c r="AB14" s="25"/>
      <c r="AC14" s="25"/>
      <c r="AD14" s="25"/>
      <c r="AE14" s="26">
        <v>2130</v>
      </c>
      <c r="AF14" s="25"/>
      <c r="AG14" s="25"/>
      <c r="AH14" s="25"/>
      <c r="AI14" s="25"/>
      <c r="AJ14" s="25"/>
      <c r="AK14" s="25"/>
    </row>
    <row r="15" spans="1:39" x14ac:dyDescent="0.25">
      <c r="A15" s="10" t="s">
        <v>247</v>
      </c>
      <c r="B15" s="11" t="s">
        <v>61</v>
      </c>
      <c r="C15" s="10" t="s">
        <v>58</v>
      </c>
      <c r="AD15" s="25"/>
      <c r="AE15" s="25"/>
      <c r="AF15" s="25"/>
      <c r="AG15" s="25"/>
      <c r="AH15" s="25"/>
      <c r="AI15" s="25">
        <v>3750</v>
      </c>
      <c r="AJ15" s="25">
        <v>1000</v>
      </c>
      <c r="AK15" s="25">
        <v>1000</v>
      </c>
    </row>
    <row r="16" spans="1:39" hidden="1" x14ac:dyDescent="0.25">
      <c r="A16" s="10" t="s">
        <v>70</v>
      </c>
      <c r="B16" s="11" t="s">
        <v>61</v>
      </c>
      <c r="C16" s="10" t="s">
        <v>63</v>
      </c>
      <c r="U16" s="25"/>
      <c r="V16" s="25"/>
      <c r="W16" s="25"/>
      <c r="X16" s="25"/>
      <c r="Y16" s="25"/>
      <c r="Z16" s="25"/>
      <c r="AA16" s="25"/>
      <c r="AB16" s="25"/>
      <c r="AD16" s="25"/>
      <c r="AE16" s="26">
        <v>9390</v>
      </c>
      <c r="AF16" s="25"/>
      <c r="AG16" s="25"/>
      <c r="AH16" s="25"/>
      <c r="AI16" s="25"/>
      <c r="AJ16" s="25"/>
      <c r="AK16" s="25"/>
    </row>
    <row r="17" spans="1:38" hidden="1" x14ac:dyDescent="0.25">
      <c r="A17" s="10" t="s">
        <v>72</v>
      </c>
      <c r="B17" s="11" t="s">
        <v>61</v>
      </c>
      <c r="C17" s="10" t="s">
        <v>63</v>
      </c>
      <c r="K17" s="12"/>
      <c r="L17" s="12"/>
      <c r="M17" s="12"/>
      <c r="N17" s="12"/>
      <c r="O17" s="12"/>
      <c r="P17" s="12"/>
      <c r="Q17" s="12"/>
      <c r="R17" s="12"/>
      <c r="S17" s="23"/>
      <c r="T17" s="27">
        <v>8220</v>
      </c>
      <c r="U17" s="25"/>
      <c r="V17" s="25"/>
      <c r="W17" s="25"/>
      <c r="X17" s="26"/>
      <c r="Y17" s="16"/>
      <c r="Z17" s="26"/>
    </row>
    <row r="18" spans="1:38" hidden="1" x14ac:dyDescent="0.25">
      <c r="A18" s="10" t="s">
        <v>73</v>
      </c>
      <c r="B18" s="11" t="s">
        <v>74</v>
      </c>
      <c r="C18" s="10" t="s">
        <v>63</v>
      </c>
      <c r="T18" s="25"/>
      <c r="U18" s="25"/>
      <c r="V18" s="25"/>
      <c r="W18" s="26">
        <v>5673.56</v>
      </c>
      <c r="X18" s="26">
        <f>2148.48+271.44+(3226.97-1074.58)</f>
        <v>4572.3099999999995</v>
      </c>
      <c r="Y18" s="26"/>
      <c r="Z18" s="26">
        <f>10399.55-136.08-2274-104.74-4514.72-1763.5-3092.47+3607.5</f>
        <v>2121.5399999999995</v>
      </c>
      <c r="AA18" s="10">
        <f>10074.27-2334-1474.38-2800.95</f>
        <v>3464.9400000000005</v>
      </c>
    </row>
    <row r="19" spans="1:38" x14ac:dyDescent="0.25">
      <c r="A19" s="10" t="s">
        <v>275</v>
      </c>
      <c r="B19" s="11" t="s">
        <v>61</v>
      </c>
      <c r="C19" s="10" t="s">
        <v>58</v>
      </c>
      <c r="U19" s="25"/>
      <c r="V19" s="25"/>
      <c r="W19" s="25"/>
      <c r="X19" s="26"/>
      <c r="Y19" s="26"/>
      <c r="Z19" s="26"/>
      <c r="AD19" s="25"/>
      <c r="AE19" s="25"/>
      <c r="AF19" s="60"/>
      <c r="AG19" s="26">
        <v>1080</v>
      </c>
      <c r="AH19" s="25"/>
      <c r="AI19" s="25">
        <v>500</v>
      </c>
      <c r="AJ19" s="25"/>
      <c r="AK19" s="25"/>
    </row>
    <row r="20" spans="1:38" hidden="1" x14ac:dyDescent="0.25">
      <c r="A20" s="10" t="s">
        <v>76</v>
      </c>
      <c r="B20" s="11" t="s">
        <v>61</v>
      </c>
      <c r="C20" s="10" t="s">
        <v>63</v>
      </c>
      <c r="M20" s="12"/>
      <c r="N20" s="12"/>
      <c r="O20" s="12"/>
      <c r="P20" s="12"/>
      <c r="R20" s="10">
        <v>210</v>
      </c>
      <c r="Y20" s="12"/>
    </row>
    <row r="21" spans="1:38" ht="12.75" hidden="1" customHeight="1" x14ac:dyDescent="0.25">
      <c r="A21" s="10" t="s">
        <v>77</v>
      </c>
      <c r="B21" s="11" t="s">
        <v>61</v>
      </c>
      <c r="C21" s="10" t="s">
        <v>63</v>
      </c>
      <c r="S21" s="22">
        <v>3030</v>
      </c>
      <c r="U21" s="25"/>
      <c r="V21" s="25"/>
      <c r="X21" s="25"/>
      <c r="Y21" s="26"/>
      <c r="Z21" s="26"/>
    </row>
    <row r="22" spans="1:38" hidden="1" x14ac:dyDescent="0.25">
      <c r="A22" s="10" t="s">
        <v>109</v>
      </c>
      <c r="B22" s="11" t="s">
        <v>74</v>
      </c>
      <c r="C22" s="10" t="s">
        <v>63</v>
      </c>
      <c r="X22" s="26">
        <f>1472.89+1081.41+2807.08+161+438</f>
        <v>5960.38</v>
      </c>
      <c r="Y22" s="26">
        <f>1472.89+1081.41+2807.08+161+438-3607.5</f>
        <v>2352.88</v>
      </c>
      <c r="Z22" s="25"/>
    </row>
    <row r="23" spans="1:38" hidden="1" x14ac:dyDescent="0.25">
      <c r="A23" s="10" t="s">
        <v>109</v>
      </c>
      <c r="B23" s="11" t="s">
        <v>61</v>
      </c>
      <c r="C23" s="10" t="s">
        <v>63</v>
      </c>
      <c r="AA23" s="10">
        <v>750</v>
      </c>
    </row>
    <row r="24" spans="1:38" hidden="1" x14ac:dyDescent="0.25">
      <c r="A24" s="10" t="s">
        <v>78</v>
      </c>
      <c r="B24" s="11" t="s">
        <v>61</v>
      </c>
      <c r="C24" s="10" t="s">
        <v>63</v>
      </c>
      <c r="H24" s="10">
        <v>11050</v>
      </c>
      <c r="J24" s="12"/>
      <c r="K24" s="12"/>
      <c r="L24" s="12"/>
      <c r="M24" s="12"/>
      <c r="N24" s="12"/>
      <c r="O24" s="12"/>
      <c r="P24" s="12">
        <v>3700</v>
      </c>
      <c r="Y24" s="12"/>
    </row>
    <row r="25" spans="1:38" hidden="1" x14ac:dyDescent="0.25">
      <c r="A25" s="10" t="s">
        <v>79</v>
      </c>
      <c r="B25" s="11" t="s">
        <v>61</v>
      </c>
      <c r="C25" s="10" t="s">
        <v>63</v>
      </c>
      <c r="H25" s="10">
        <v>780</v>
      </c>
      <c r="R25" s="10">
        <v>210</v>
      </c>
    </row>
    <row r="26" spans="1:38" hidden="1" x14ac:dyDescent="0.25">
      <c r="A26" s="10" t="s">
        <v>80</v>
      </c>
      <c r="B26" s="11" t="s">
        <v>61</v>
      </c>
      <c r="C26" s="10" t="s">
        <v>63</v>
      </c>
      <c r="J26" s="12"/>
      <c r="K26" s="12"/>
      <c r="L26" s="12"/>
      <c r="M26" s="12"/>
      <c r="N26" s="12">
        <v>1320</v>
      </c>
      <c r="O26" s="12"/>
      <c r="P26" s="12"/>
      <c r="Y26" s="13"/>
    </row>
    <row r="27" spans="1:38" hidden="1" x14ac:dyDescent="0.25">
      <c r="A27" s="10" t="s">
        <v>81</v>
      </c>
      <c r="B27" s="11" t="s">
        <v>61</v>
      </c>
      <c r="C27" s="10" t="s">
        <v>63</v>
      </c>
      <c r="J27" s="12"/>
      <c r="K27" s="12"/>
      <c r="L27" s="16"/>
      <c r="M27" s="12"/>
      <c r="N27" s="12">
        <v>1740</v>
      </c>
      <c r="O27" s="12"/>
      <c r="P27" s="12"/>
      <c r="R27" s="10">
        <v>210</v>
      </c>
    </row>
    <row r="28" spans="1:38" hidden="1" x14ac:dyDescent="0.25">
      <c r="A28" s="10" t="s">
        <v>82</v>
      </c>
      <c r="B28" s="11" t="s">
        <v>61</v>
      </c>
      <c r="C28" s="10" t="s">
        <v>63</v>
      </c>
      <c r="S28" s="10">
        <v>840</v>
      </c>
    </row>
    <row r="29" spans="1:38" hidden="1" x14ac:dyDescent="0.25">
      <c r="A29" s="10" t="s">
        <v>83</v>
      </c>
      <c r="B29" s="11" t="s">
        <v>61</v>
      </c>
      <c r="C29" s="10" t="s">
        <v>63</v>
      </c>
      <c r="J29" s="12"/>
      <c r="K29" s="12"/>
      <c r="L29" s="12"/>
      <c r="M29" s="12"/>
      <c r="N29" s="12"/>
      <c r="O29" s="12"/>
      <c r="P29" s="12"/>
      <c r="R29" s="12"/>
      <c r="S29" s="10">
        <v>480</v>
      </c>
      <c r="T29" s="12"/>
      <c r="Y29" s="12"/>
    </row>
    <row r="30" spans="1:38" hidden="1" x14ac:dyDescent="0.25">
      <c r="A30" s="10" t="s">
        <v>73</v>
      </c>
      <c r="B30" s="11" t="s">
        <v>61</v>
      </c>
      <c r="C30" s="10" t="s">
        <v>63</v>
      </c>
      <c r="T30" s="10" t="s">
        <v>75</v>
      </c>
      <c r="Z30" s="25"/>
      <c r="AA30" s="25"/>
      <c r="AB30" s="25"/>
      <c r="AD30" s="26">
        <v>3180</v>
      </c>
      <c r="AE30" s="25"/>
      <c r="AF30" s="25"/>
      <c r="AG30" s="25"/>
      <c r="AH30" s="25"/>
      <c r="AI30" s="25"/>
      <c r="AJ30" s="25"/>
      <c r="AK30" s="25"/>
    </row>
    <row r="31" spans="1:38" x14ac:dyDescent="0.25">
      <c r="A31" s="10" t="s">
        <v>84</v>
      </c>
      <c r="B31" s="11" t="s">
        <v>61</v>
      </c>
      <c r="C31" s="10" t="s">
        <v>58</v>
      </c>
      <c r="M31" s="12"/>
      <c r="N31" s="12"/>
      <c r="O31" s="12"/>
      <c r="P31" s="12"/>
      <c r="R31" s="12"/>
      <c r="U31" s="25"/>
      <c r="V31" s="25"/>
      <c r="X31" s="25"/>
      <c r="Y31" s="25"/>
      <c r="Z31" s="25"/>
      <c r="AA31" s="10">
        <v>6114</v>
      </c>
      <c r="AB31" s="25"/>
      <c r="AC31" s="25"/>
      <c r="AD31" s="25"/>
      <c r="AE31" s="25"/>
      <c r="AF31" s="61"/>
      <c r="AG31" s="29">
        <v>14921.23</v>
      </c>
      <c r="AH31" s="26">
        <v>10911.2</v>
      </c>
      <c r="AI31" s="25">
        <v>10000</v>
      </c>
      <c r="AJ31" s="25">
        <v>7000</v>
      </c>
      <c r="AK31" s="25"/>
      <c r="AL31" s="25">
        <v>6000</v>
      </c>
    </row>
    <row r="32" spans="1:38" hidden="1" x14ac:dyDescent="0.25">
      <c r="A32" s="10" t="s">
        <v>85</v>
      </c>
      <c r="B32" s="11" t="s">
        <v>61</v>
      </c>
      <c r="C32" s="10" t="s">
        <v>63</v>
      </c>
      <c r="J32" s="10">
        <v>270</v>
      </c>
      <c r="M32" s="12"/>
      <c r="N32" s="12"/>
      <c r="O32" s="12"/>
      <c r="P32" s="12"/>
      <c r="Y32" s="12"/>
    </row>
    <row r="33" spans="1:39" hidden="1" x14ac:dyDescent="0.25">
      <c r="A33" s="10" t="s">
        <v>86</v>
      </c>
      <c r="B33" s="11" t="s">
        <v>61</v>
      </c>
      <c r="C33" s="10" t="s">
        <v>63</v>
      </c>
      <c r="R33" s="10">
        <v>690</v>
      </c>
      <c r="W33" s="25"/>
    </row>
    <row r="34" spans="1:39" hidden="1" x14ac:dyDescent="0.25">
      <c r="A34" s="10" t="s">
        <v>87</v>
      </c>
      <c r="B34" s="11" t="s">
        <v>61</v>
      </c>
      <c r="C34" s="10" t="s">
        <v>63</v>
      </c>
      <c r="J34" s="12"/>
      <c r="K34" s="12"/>
      <c r="L34" s="12"/>
      <c r="M34" s="12"/>
      <c r="N34" s="12"/>
      <c r="O34" s="12"/>
      <c r="P34" s="12"/>
      <c r="R34" s="10">
        <v>4140</v>
      </c>
    </row>
    <row r="35" spans="1:39" hidden="1" x14ac:dyDescent="0.25">
      <c r="A35" s="10" t="s">
        <v>88</v>
      </c>
      <c r="B35" s="21" t="s">
        <v>74</v>
      </c>
      <c r="C35" s="10" t="s">
        <v>63</v>
      </c>
      <c r="V35" s="25"/>
      <c r="W35" s="25"/>
      <c r="X35" s="25"/>
      <c r="Y35" s="25"/>
      <c r="Z35" s="25"/>
      <c r="AA35" s="25"/>
      <c r="AB35" s="25"/>
    </row>
    <row r="36" spans="1:39" hidden="1" x14ac:dyDescent="0.25">
      <c r="A36" s="10" t="s">
        <v>89</v>
      </c>
      <c r="B36" s="11" t="s">
        <v>74</v>
      </c>
      <c r="C36" s="10" t="s">
        <v>63</v>
      </c>
      <c r="V36" s="29">
        <v>1568.58</v>
      </c>
      <c r="W36" s="25"/>
      <c r="X36" s="25"/>
    </row>
    <row r="37" spans="1:39" hidden="1" x14ac:dyDescent="0.25">
      <c r="A37" s="10" t="s">
        <v>90</v>
      </c>
      <c r="B37" s="11" t="s">
        <v>61</v>
      </c>
      <c r="C37" s="10" t="s">
        <v>63</v>
      </c>
      <c r="U37" s="25"/>
      <c r="V37" s="25"/>
      <c r="W37" s="25"/>
      <c r="X37" s="25"/>
      <c r="Y37" s="25"/>
      <c r="Z37" s="25"/>
      <c r="AA37" s="25"/>
    </row>
    <row r="38" spans="1:39" hidden="1" x14ac:dyDescent="0.25">
      <c r="A38" s="10" t="s">
        <v>91</v>
      </c>
      <c r="B38" s="11" t="s">
        <v>61</v>
      </c>
      <c r="C38" s="10" t="s">
        <v>63</v>
      </c>
      <c r="J38" s="12"/>
      <c r="K38" s="12"/>
      <c r="L38" s="13"/>
      <c r="M38" s="12"/>
      <c r="N38" s="12"/>
      <c r="O38" s="12"/>
      <c r="P38" s="12"/>
      <c r="R38" s="12"/>
      <c r="S38" s="10">
        <v>300</v>
      </c>
      <c r="Y38" s="12"/>
      <c r="AD38" s="26">
        <v>210</v>
      </c>
      <c r="AE38" s="25"/>
      <c r="AF38" s="25"/>
      <c r="AG38" s="25"/>
      <c r="AH38" s="25"/>
      <c r="AI38" s="25"/>
      <c r="AJ38" s="25"/>
      <c r="AK38" s="25"/>
    </row>
    <row r="39" spans="1:39" x14ac:dyDescent="0.25">
      <c r="A39" s="10" t="s">
        <v>240</v>
      </c>
      <c r="B39" s="11" t="s">
        <v>61</v>
      </c>
      <c r="C39" s="10" t="s">
        <v>58</v>
      </c>
      <c r="Y39" s="25"/>
      <c r="AD39" s="25"/>
      <c r="AE39" s="25"/>
      <c r="AG39" s="25"/>
      <c r="AH39" s="25"/>
      <c r="AI39" s="25"/>
      <c r="AJ39" s="25"/>
      <c r="AK39" s="25"/>
      <c r="AM39" s="25">
        <v>1000</v>
      </c>
    </row>
    <row r="40" spans="1:39" x14ac:dyDescent="0.25">
      <c r="A40" s="10" t="s">
        <v>268</v>
      </c>
      <c r="B40" s="11" t="s">
        <v>61</v>
      </c>
      <c r="C40" s="10" t="s">
        <v>58</v>
      </c>
      <c r="AD40" s="25"/>
      <c r="AE40" s="25"/>
      <c r="AF40" s="25"/>
      <c r="AG40" s="25"/>
      <c r="AH40" s="25"/>
      <c r="AI40" s="25">
        <v>3500</v>
      </c>
      <c r="AJ40" s="25"/>
      <c r="AK40" s="25"/>
    </row>
    <row r="41" spans="1:39" x14ac:dyDescent="0.25">
      <c r="A41" s="12" t="s">
        <v>93</v>
      </c>
      <c r="B41" s="21" t="s">
        <v>61</v>
      </c>
      <c r="C41" s="10" t="s">
        <v>58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S41" s="22"/>
      <c r="U41" s="22"/>
      <c r="W41" s="25"/>
      <c r="X41" s="25"/>
      <c r="Z41" s="25"/>
      <c r="AA41" s="25"/>
      <c r="AB41" s="25"/>
      <c r="AC41" s="25"/>
      <c r="AD41" s="25"/>
      <c r="AE41" s="25"/>
      <c r="AF41" s="25"/>
      <c r="AG41" s="25"/>
      <c r="AH41" s="25"/>
      <c r="AI41" s="25">
        <v>690</v>
      </c>
      <c r="AJ41" s="25"/>
      <c r="AK41" s="25"/>
    </row>
    <row r="42" spans="1:39" hidden="1" x14ac:dyDescent="0.25">
      <c r="A42" s="10" t="s">
        <v>92</v>
      </c>
      <c r="B42" s="11" t="s">
        <v>61</v>
      </c>
      <c r="C42" s="10" t="s">
        <v>63</v>
      </c>
      <c r="X42" s="25"/>
      <c r="Z42" s="25"/>
      <c r="AA42" s="25"/>
      <c r="AB42" s="25"/>
      <c r="AD42" s="26">
        <v>270</v>
      </c>
      <c r="AE42" s="25"/>
      <c r="AF42" s="25"/>
      <c r="AG42" s="25"/>
      <c r="AH42" s="25"/>
      <c r="AI42" s="25"/>
      <c r="AJ42" s="25"/>
      <c r="AK42" s="25"/>
    </row>
    <row r="43" spans="1:39" hidden="1" x14ac:dyDescent="0.25">
      <c r="A43" s="10" t="s">
        <v>96</v>
      </c>
      <c r="B43" s="21" t="s">
        <v>57</v>
      </c>
      <c r="C43" s="10" t="s">
        <v>63</v>
      </c>
      <c r="T43" s="26"/>
      <c r="U43" s="26">
        <f>240+500</f>
        <v>740</v>
      </c>
      <c r="V43" s="25"/>
      <c r="W43" s="26">
        <v>750</v>
      </c>
      <c r="X43" s="25"/>
      <c r="Z43" s="10">
        <v>750</v>
      </c>
      <c r="AA43" s="25"/>
    </row>
    <row r="44" spans="1:39" hidden="1" x14ac:dyDescent="0.25">
      <c r="A44" s="10" t="s">
        <v>97</v>
      </c>
      <c r="B44" s="21" t="s">
        <v>57</v>
      </c>
      <c r="C44" s="10" t="s">
        <v>63</v>
      </c>
      <c r="V44" s="10">
        <f>1950/2</f>
        <v>975</v>
      </c>
      <c r="X44" s="25"/>
      <c r="Z44" s="26">
        <f>1950/2</f>
        <v>975</v>
      </c>
      <c r="AA44" s="25"/>
    </row>
    <row r="45" spans="1:39" hidden="1" x14ac:dyDescent="0.25">
      <c r="A45" s="10" t="s">
        <v>243</v>
      </c>
      <c r="B45" s="21" t="s">
        <v>57</v>
      </c>
      <c r="C45" s="10" t="s">
        <v>63</v>
      </c>
      <c r="S45" s="10">
        <v>240</v>
      </c>
      <c r="T45" s="22">
        <v>1402.5</v>
      </c>
      <c r="U45" s="25"/>
      <c r="V45" s="31"/>
      <c r="W45" s="31"/>
      <c r="X45" s="31"/>
      <c r="Y45" s="31"/>
      <c r="Z45" s="31"/>
      <c r="AA45" s="31"/>
      <c r="AB45" s="22">
        <v>1402.5</v>
      </c>
      <c r="AC45" s="31"/>
      <c r="AD45" s="22"/>
      <c r="AE45" s="22"/>
    </row>
    <row r="46" spans="1:39" hidden="1" x14ac:dyDescent="0.25">
      <c r="A46" s="10" t="s">
        <v>260</v>
      </c>
      <c r="B46" s="11" t="s">
        <v>61</v>
      </c>
      <c r="C46" s="10" t="s">
        <v>63</v>
      </c>
      <c r="U46" s="25"/>
      <c r="X46" s="25"/>
      <c r="Z46" s="25"/>
      <c r="AA46" s="25"/>
      <c r="AB46" s="25"/>
      <c r="AD46" s="26">
        <v>480</v>
      </c>
      <c r="AE46" s="25"/>
      <c r="AF46" s="25"/>
      <c r="AG46" s="25"/>
      <c r="AH46" s="25"/>
      <c r="AI46" s="25"/>
      <c r="AJ46" s="25"/>
      <c r="AK46" s="25"/>
    </row>
    <row r="47" spans="1:39" x14ac:dyDescent="0.25">
      <c r="A47" s="10" t="s">
        <v>277</v>
      </c>
      <c r="B47" s="21" t="s">
        <v>57</v>
      </c>
      <c r="C47" s="10" t="s">
        <v>58</v>
      </c>
      <c r="U47" s="10">
        <v>1000</v>
      </c>
      <c r="V47" s="25"/>
      <c r="W47" s="25"/>
      <c r="X47" s="26">
        <v>1384</v>
      </c>
      <c r="Y47" s="25"/>
      <c r="Z47" s="25"/>
      <c r="AA47" s="25"/>
      <c r="AB47" s="25"/>
      <c r="AD47" s="26">
        <v>3200</v>
      </c>
      <c r="AE47" s="25"/>
      <c r="AF47" s="25"/>
      <c r="AG47" s="26">
        <v>462</v>
      </c>
      <c r="AH47" s="25"/>
      <c r="AI47" s="64"/>
      <c r="AJ47" s="25"/>
      <c r="AK47" s="25"/>
    </row>
    <row r="48" spans="1:39" x14ac:dyDescent="0.25">
      <c r="A48" s="10" t="s">
        <v>256</v>
      </c>
      <c r="B48" s="11" t="s">
        <v>57</v>
      </c>
      <c r="C48" s="10" t="s">
        <v>58</v>
      </c>
      <c r="AD48" s="25"/>
      <c r="AE48" s="25"/>
      <c r="AF48" s="25"/>
      <c r="AG48" s="25"/>
      <c r="AH48" s="25"/>
      <c r="AI48" s="25"/>
      <c r="AJ48" s="25">
        <v>1000</v>
      </c>
      <c r="AK48" s="25"/>
    </row>
    <row r="49" spans="1:37" hidden="1" x14ac:dyDescent="0.25">
      <c r="A49" s="10" t="s">
        <v>110</v>
      </c>
      <c r="B49" s="11" t="s">
        <v>57</v>
      </c>
      <c r="C49" s="10" t="s">
        <v>63</v>
      </c>
      <c r="X49" s="26">
        <v>750</v>
      </c>
      <c r="Z49" s="10">
        <v>750</v>
      </c>
      <c r="AA49" s="25"/>
    </row>
    <row r="50" spans="1:37" hidden="1" x14ac:dyDescent="0.25">
      <c r="A50" s="10" t="s">
        <v>102</v>
      </c>
      <c r="B50" s="11" t="s">
        <v>61</v>
      </c>
      <c r="C50" s="10" t="s">
        <v>63</v>
      </c>
      <c r="V50" s="26">
        <v>1200</v>
      </c>
    </row>
    <row r="51" spans="1:37" hidden="1" x14ac:dyDescent="0.25">
      <c r="A51" s="10" t="s">
        <v>246</v>
      </c>
      <c r="B51" s="21" t="s">
        <v>57</v>
      </c>
      <c r="C51" s="10" t="s">
        <v>63</v>
      </c>
      <c r="S51" s="22">
        <v>1212.5</v>
      </c>
      <c r="U51" s="31"/>
      <c r="V51" s="31"/>
      <c r="W51" s="29">
        <v>1212.5</v>
      </c>
      <c r="X51" s="31"/>
      <c r="Y51" s="31"/>
      <c r="Z51" s="22">
        <v>1212.5</v>
      </c>
      <c r="AA51" s="31"/>
      <c r="AC51" s="22">
        <v>1212.5</v>
      </c>
    </row>
    <row r="52" spans="1:37" hidden="1" x14ac:dyDescent="0.25">
      <c r="A52" s="10" t="s">
        <v>19</v>
      </c>
      <c r="B52" s="11" t="s">
        <v>57</v>
      </c>
      <c r="C52" s="10" t="s">
        <v>63</v>
      </c>
      <c r="I52" s="10">
        <v>550</v>
      </c>
      <c r="J52" s="12"/>
      <c r="K52" s="12">
        <v>550</v>
      </c>
      <c r="L52" s="12"/>
      <c r="M52" s="12"/>
      <c r="N52" s="12"/>
      <c r="O52" s="12"/>
      <c r="P52" s="12"/>
      <c r="V52" s="12"/>
      <c r="W52" s="25"/>
      <c r="Y52" s="12"/>
    </row>
    <row r="53" spans="1:37" hidden="1" x14ac:dyDescent="0.25">
      <c r="A53" s="10" t="s">
        <v>17</v>
      </c>
      <c r="B53" s="11" t="s">
        <v>57</v>
      </c>
      <c r="C53" s="10" t="s">
        <v>63</v>
      </c>
      <c r="F53" s="10">
        <v>1250</v>
      </c>
      <c r="J53" s="12"/>
      <c r="K53" s="12"/>
      <c r="L53" s="12">
        <v>1250</v>
      </c>
      <c r="M53" s="12"/>
      <c r="N53" s="12">
        <v>1250</v>
      </c>
      <c r="O53" s="12"/>
      <c r="P53" s="12"/>
      <c r="Q53" s="12"/>
      <c r="R53" s="12"/>
      <c r="S53" s="12"/>
      <c r="T53" s="24"/>
      <c r="U53" s="16">
        <v>1250</v>
      </c>
      <c r="V53" s="24"/>
      <c r="W53" s="25"/>
      <c r="X53" s="26"/>
      <c r="Y53" s="16"/>
      <c r="Z53" s="26"/>
    </row>
    <row r="54" spans="1:37" hidden="1" x14ac:dyDescent="0.25">
      <c r="A54" s="10" t="s">
        <v>104</v>
      </c>
      <c r="B54" s="21" t="s">
        <v>57</v>
      </c>
      <c r="C54" s="10" t="s">
        <v>63</v>
      </c>
      <c r="T54" s="26">
        <v>425</v>
      </c>
      <c r="U54" s="26">
        <v>425</v>
      </c>
      <c r="V54" s="25"/>
      <c r="W54" s="25"/>
      <c r="X54" s="25"/>
      <c r="Y54" s="25"/>
      <c r="Z54" s="25"/>
      <c r="AA54" s="25"/>
    </row>
    <row r="55" spans="1:37" x14ac:dyDescent="0.25">
      <c r="A55" s="10" t="s">
        <v>252</v>
      </c>
      <c r="B55" s="11" t="s">
        <v>57</v>
      </c>
      <c r="C55" s="10" t="s">
        <v>58</v>
      </c>
      <c r="AB55" s="25"/>
      <c r="AD55" s="26">
        <v>818</v>
      </c>
      <c r="AE55" s="25"/>
      <c r="AF55" s="25"/>
      <c r="AG55" s="25"/>
      <c r="AH55" s="25"/>
      <c r="AI55" s="25">
        <v>500</v>
      </c>
      <c r="AJ55" s="25"/>
      <c r="AK55" s="25"/>
    </row>
    <row r="56" spans="1:37" x14ac:dyDescent="0.25">
      <c r="A56" s="10" t="s">
        <v>244</v>
      </c>
      <c r="B56" s="11" t="s">
        <v>57</v>
      </c>
      <c r="C56" s="10" t="s">
        <v>58</v>
      </c>
      <c r="AC56" s="26">
        <v>1725</v>
      </c>
      <c r="AD56" s="25"/>
      <c r="AI56" s="25">
        <v>1725</v>
      </c>
      <c r="AJ56" s="25">
        <v>500</v>
      </c>
      <c r="AK56" s="25">
        <v>500</v>
      </c>
    </row>
    <row r="57" spans="1:37" hidden="1" x14ac:dyDescent="0.25">
      <c r="A57" s="10" t="s">
        <v>106</v>
      </c>
      <c r="B57" s="11" t="s">
        <v>57</v>
      </c>
      <c r="C57" s="10" t="s">
        <v>63</v>
      </c>
      <c r="E57" s="10">
        <v>900</v>
      </c>
      <c r="F57" s="10">
        <v>900</v>
      </c>
    </row>
    <row r="58" spans="1:37" hidden="1" x14ac:dyDescent="0.25">
      <c r="A58" s="10" t="s">
        <v>107</v>
      </c>
      <c r="B58" s="21" t="s">
        <v>57</v>
      </c>
      <c r="C58" s="10" t="s">
        <v>63</v>
      </c>
      <c r="V58" s="10">
        <v>660</v>
      </c>
      <c r="W58" s="25"/>
      <c r="X58" s="26"/>
      <c r="Y58" s="26"/>
      <c r="Z58" s="26"/>
    </row>
    <row r="59" spans="1:37" hidden="1" x14ac:dyDescent="0.25">
      <c r="A59" s="10" t="s">
        <v>108</v>
      </c>
      <c r="B59" s="11" t="s">
        <v>61</v>
      </c>
      <c r="C59" s="10" t="s">
        <v>63</v>
      </c>
      <c r="F59" s="10">
        <v>6200</v>
      </c>
      <c r="J59" s="12"/>
      <c r="K59" s="12"/>
      <c r="L59" s="16"/>
      <c r="M59" s="12"/>
      <c r="N59" s="12"/>
      <c r="O59" s="12"/>
      <c r="P59" s="12"/>
      <c r="U59" s="25"/>
      <c r="V59" s="25"/>
      <c r="W59" s="25"/>
      <c r="X59" s="25"/>
      <c r="Y59" s="25"/>
      <c r="Z59" s="25"/>
    </row>
    <row r="60" spans="1:37" ht="13.5" hidden="1" customHeight="1" x14ac:dyDescent="0.25">
      <c r="A60" s="10" t="s">
        <v>241</v>
      </c>
      <c r="B60" s="11" t="s">
        <v>61</v>
      </c>
      <c r="C60" s="10" t="s">
        <v>63</v>
      </c>
      <c r="AA60" s="25"/>
      <c r="AB60" s="26">
        <v>9450</v>
      </c>
    </row>
    <row r="61" spans="1:37" ht="13.5" hidden="1" customHeight="1" x14ac:dyDescent="0.25">
      <c r="A61" s="10" t="s">
        <v>105</v>
      </c>
      <c r="B61" s="21" t="s">
        <v>57</v>
      </c>
      <c r="C61" s="10" t="s">
        <v>63</v>
      </c>
      <c r="J61" s="12"/>
      <c r="K61" s="12">
        <v>2325</v>
      </c>
      <c r="L61" s="12"/>
      <c r="M61" s="12"/>
      <c r="N61" s="12"/>
      <c r="O61" s="12"/>
      <c r="P61" s="12"/>
      <c r="Q61" s="12"/>
      <c r="R61" s="12"/>
      <c r="S61" s="12"/>
      <c r="T61" s="24"/>
      <c r="U61" s="24"/>
      <c r="V61" s="24"/>
      <c r="W61" s="16">
        <v>2325</v>
      </c>
      <c r="X61" s="24"/>
      <c r="Y61" s="24"/>
      <c r="Z61" s="25"/>
      <c r="AB61" s="12">
        <v>2325</v>
      </c>
      <c r="AD61" s="24"/>
      <c r="AE61" s="24"/>
      <c r="AF61" s="16">
        <v>2325</v>
      </c>
      <c r="AG61" s="25"/>
      <c r="AH61" s="25"/>
      <c r="AI61" s="25"/>
      <c r="AJ61" s="25"/>
      <c r="AK61" s="25"/>
    </row>
    <row r="62" spans="1:37" ht="13.5" hidden="1" customHeight="1" x14ac:dyDescent="0.25">
      <c r="A62" s="10" t="s">
        <v>242</v>
      </c>
      <c r="B62" s="11" t="s">
        <v>57</v>
      </c>
      <c r="C62" s="10" t="s">
        <v>63</v>
      </c>
      <c r="Z62" s="10">
        <v>500</v>
      </c>
      <c r="AB62" s="54"/>
      <c r="AC62" s="10">
        <v>225</v>
      </c>
    </row>
    <row r="63" spans="1:37" ht="13.5" hidden="1" customHeight="1" x14ac:dyDescent="0.25">
      <c r="A63" s="10" t="s">
        <v>253</v>
      </c>
      <c r="B63" s="11" t="s">
        <v>57</v>
      </c>
      <c r="C63" s="10" t="s">
        <v>63</v>
      </c>
      <c r="AC63" s="25"/>
      <c r="AD63" s="54"/>
      <c r="AE63" s="26">
        <v>800</v>
      </c>
      <c r="AF63" s="25"/>
      <c r="AG63" s="25"/>
      <c r="AH63" s="25"/>
      <c r="AI63" s="25"/>
      <c r="AJ63" s="25"/>
      <c r="AK63" s="25"/>
    </row>
    <row r="64" spans="1:37" ht="13.5" customHeight="1" x14ac:dyDescent="0.25">
      <c r="A64" s="10" t="s">
        <v>15</v>
      </c>
      <c r="B64" s="21" t="s">
        <v>57</v>
      </c>
      <c r="C64" s="10" t="s">
        <v>58</v>
      </c>
      <c r="D64" s="10">
        <v>940</v>
      </c>
      <c r="F64" s="10">
        <v>2020</v>
      </c>
      <c r="H64" s="10">
        <v>2480</v>
      </c>
      <c r="J64" s="12"/>
      <c r="K64" s="12">
        <v>1917</v>
      </c>
      <c r="L64" s="12">
        <v>1638</v>
      </c>
      <c r="M64" s="12"/>
      <c r="N64" s="12"/>
      <c r="O64" s="12">
        <f>1128.14-488.14</f>
        <v>640.00000000000011</v>
      </c>
      <c r="P64" s="12">
        <v>640</v>
      </c>
      <c r="Q64" s="10">
        <v>1160</v>
      </c>
      <c r="S64" s="22">
        <v>2099.87</v>
      </c>
      <c r="U64" s="26">
        <v>1260</v>
      </c>
      <c r="V64" s="25"/>
      <c r="W64" s="26">
        <v>1100</v>
      </c>
      <c r="X64" s="26"/>
      <c r="Y64" s="26"/>
      <c r="Z64" s="26"/>
      <c r="AD64" s="25"/>
      <c r="AE64" s="25"/>
      <c r="AF64" s="25"/>
      <c r="AG64" s="25"/>
      <c r="AH64" s="25"/>
      <c r="AI64" s="25">
        <v>140</v>
      </c>
      <c r="AJ64" s="25"/>
      <c r="AK64" s="25"/>
    </row>
    <row r="65" spans="1:38" ht="13.5" hidden="1" customHeight="1" x14ac:dyDescent="0.25">
      <c r="A65" s="10" t="s">
        <v>250</v>
      </c>
      <c r="B65" s="21" t="s">
        <v>57</v>
      </c>
      <c r="C65" s="10" t="s">
        <v>63</v>
      </c>
      <c r="J65" s="12"/>
      <c r="K65" s="12"/>
      <c r="L65" s="12">
        <v>1600</v>
      </c>
      <c r="M65" s="12"/>
      <c r="N65" s="12"/>
      <c r="O65" s="12"/>
      <c r="P65" s="12"/>
      <c r="Q65" s="12"/>
      <c r="T65" s="25"/>
      <c r="U65" s="25"/>
      <c r="X65" s="25"/>
      <c r="Z65" s="25"/>
      <c r="AA65" s="25"/>
      <c r="AB65" s="25"/>
      <c r="AD65" s="25"/>
      <c r="AE65" s="25"/>
      <c r="AF65" s="26">
        <v>1750</v>
      </c>
      <c r="AG65" s="25"/>
      <c r="AH65" s="25"/>
      <c r="AI65" s="25">
        <v>500</v>
      </c>
      <c r="AJ65" s="25"/>
      <c r="AK65" s="25"/>
    </row>
    <row r="66" spans="1:38" x14ac:dyDescent="0.25">
      <c r="A66" s="10" t="s">
        <v>254</v>
      </c>
      <c r="B66" s="11" t="s">
        <v>57</v>
      </c>
      <c r="C66" s="10" t="s">
        <v>58</v>
      </c>
      <c r="AC66" s="26">
        <v>500</v>
      </c>
      <c r="AD66" s="25"/>
      <c r="AE66" s="25"/>
      <c r="AF66" s="25"/>
      <c r="AG66" s="25"/>
      <c r="AH66" s="25"/>
      <c r="AI66" s="25">
        <v>500</v>
      </c>
      <c r="AJ66" s="25"/>
      <c r="AK66" s="25"/>
    </row>
    <row r="67" spans="1:38" hidden="1" x14ac:dyDescent="0.25">
      <c r="A67" s="10" t="s">
        <v>254</v>
      </c>
      <c r="B67" s="11" t="s">
        <v>57</v>
      </c>
      <c r="AI67" s="25">
        <v>500</v>
      </c>
    </row>
    <row r="68" spans="1:38" hidden="1" x14ac:dyDescent="0.25">
      <c r="A68" s="10" t="s">
        <v>255</v>
      </c>
      <c r="B68" s="11" t="s">
        <v>57</v>
      </c>
    </row>
    <row r="69" spans="1:38" hidden="1" x14ac:dyDescent="0.25">
      <c r="A69" s="10" t="s">
        <v>249</v>
      </c>
      <c r="B69" s="11" t="s">
        <v>57</v>
      </c>
      <c r="C69" s="10" t="s">
        <v>63</v>
      </c>
      <c r="W69" s="22">
        <f>1312.5+(750/2)</f>
        <v>1687.5</v>
      </c>
      <c r="X69" s="25"/>
      <c r="Z69" s="22">
        <v>1312.5</v>
      </c>
      <c r="AA69" s="31"/>
      <c r="AB69" s="29">
        <f>375</f>
        <v>375</v>
      </c>
      <c r="AC69" s="22">
        <v>1312.5</v>
      </c>
      <c r="AD69" s="31"/>
      <c r="AE69" s="31"/>
      <c r="AF69" s="29">
        <v>1312.5</v>
      </c>
      <c r="AG69" s="25"/>
      <c r="AH69" s="25"/>
      <c r="AI69" s="25"/>
      <c r="AJ69" s="25"/>
      <c r="AK69" s="25"/>
    </row>
    <row r="70" spans="1:38" x14ac:dyDescent="0.25">
      <c r="AD70" s="25"/>
      <c r="AE70" s="25"/>
      <c r="AF70" s="25"/>
      <c r="AG70" s="25"/>
      <c r="AH70" s="25"/>
      <c r="AI70" s="25"/>
      <c r="AJ70" s="25"/>
      <c r="AK70" s="25"/>
    </row>
    <row r="71" spans="1:38" ht="13.5" customHeight="1" x14ac:dyDescent="0.25">
      <c r="A71" s="10" t="s">
        <v>245</v>
      </c>
      <c r="B71" s="11" t="s">
        <v>57</v>
      </c>
      <c r="C71" s="10" t="s">
        <v>58</v>
      </c>
      <c r="AA71" s="26">
        <v>500</v>
      </c>
      <c r="AC71" s="25"/>
      <c r="AD71" s="25"/>
      <c r="AE71" s="26">
        <v>500</v>
      </c>
      <c r="AG71" s="25"/>
      <c r="AH71" s="25"/>
      <c r="AI71" s="25">
        <v>500</v>
      </c>
      <c r="AJ71" s="25"/>
      <c r="AK71" s="25"/>
    </row>
    <row r="72" spans="1:38" x14ac:dyDescent="0.25">
      <c r="A72" s="10" t="s">
        <v>248</v>
      </c>
      <c r="B72" s="21" t="s">
        <v>57</v>
      </c>
      <c r="C72" s="10" t="s">
        <v>58</v>
      </c>
      <c r="V72" s="26">
        <f>14000/4</f>
        <v>3500</v>
      </c>
      <c r="X72" s="25"/>
      <c r="Z72" s="25"/>
      <c r="AA72" s="25"/>
      <c r="AB72" s="26">
        <f>14000/4</f>
        <v>3500</v>
      </c>
      <c r="AC72" s="25"/>
      <c r="AD72" s="25"/>
      <c r="AE72" s="25"/>
      <c r="AF72" s="26">
        <f>14000/4</f>
        <v>3500</v>
      </c>
      <c r="AG72" s="25"/>
      <c r="AH72" s="25"/>
      <c r="AI72" s="25">
        <v>3000</v>
      </c>
      <c r="AJ72" s="25"/>
      <c r="AK72" s="25"/>
    </row>
    <row r="73" spans="1:38" ht="13.5" customHeight="1" x14ac:dyDescent="0.25">
      <c r="A73" s="10" t="s">
        <v>257</v>
      </c>
      <c r="B73" s="11" t="s">
        <v>57</v>
      </c>
      <c r="C73" s="10" t="s">
        <v>58</v>
      </c>
      <c r="AC73" s="31"/>
      <c r="AD73" s="29">
        <v>1612.5</v>
      </c>
      <c r="AE73" s="31"/>
      <c r="AF73" s="29">
        <v>1612.5</v>
      </c>
      <c r="AG73" s="31"/>
      <c r="AH73" s="31"/>
      <c r="AI73" s="31"/>
      <c r="AJ73" s="31">
        <v>1612.5</v>
      </c>
      <c r="AK73" s="31">
        <v>1612.5</v>
      </c>
    </row>
    <row r="74" spans="1:38" ht="13.5" customHeight="1" x14ac:dyDescent="0.25">
      <c r="A74" s="10" t="s">
        <v>258</v>
      </c>
      <c r="B74" s="11" t="s">
        <v>57</v>
      </c>
      <c r="C74" s="10" t="s">
        <v>58</v>
      </c>
      <c r="AD74" s="26">
        <v>1500</v>
      </c>
      <c r="AE74" s="25"/>
      <c r="AF74" s="54"/>
      <c r="AG74" s="26">
        <v>1500</v>
      </c>
      <c r="AH74" s="25"/>
      <c r="AI74" s="25">
        <v>800</v>
      </c>
    </row>
    <row r="75" spans="1:38" ht="13.5" hidden="1" customHeight="1" x14ac:dyDescent="0.25">
      <c r="A75" s="10" t="s">
        <v>259</v>
      </c>
      <c r="B75" s="11" t="s">
        <v>61</v>
      </c>
      <c r="C75" s="10" t="s">
        <v>63</v>
      </c>
      <c r="AD75" s="26">
        <v>240</v>
      </c>
    </row>
    <row r="76" spans="1:38" ht="13.5" customHeight="1" x14ac:dyDescent="0.25">
      <c r="A76" s="10" t="s">
        <v>264</v>
      </c>
      <c r="B76" s="11" t="s">
        <v>57</v>
      </c>
      <c r="C76" s="10" t="s">
        <v>58</v>
      </c>
      <c r="AD76" s="10">
        <v>1850</v>
      </c>
      <c r="AF76" s="26">
        <v>1850</v>
      </c>
      <c r="AG76" s="25"/>
      <c r="AH76" s="25"/>
      <c r="AI76" s="25">
        <v>600</v>
      </c>
      <c r="AJ76" s="25">
        <v>600</v>
      </c>
    </row>
    <row r="77" spans="1:38" ht="13.5" customHeight="1" x14ac:dyDescent="0.25">
      <c r="A77" s="10" t="s">
        <v>266</v>
      </c>
      <c r="B77" s="11" t="s">
        <v>61</v>
      </c>
      <c r="C77" s="10" t="s">
        <v>58</v>
      </c>
      <c r="AE77" s="26">
        <v>2500</v>
      </c>
      <c r="AH77" s="29">
        <f>(35764.32+2047.2)-3504.06-2321.75-394-627.47-2042.78-200-8144.48-1915.76-1743.5-2206-801.3-801.3</f>
        <v>13109.120000000003</v>
      </c>
      <c r="AI77" s="31"/>
      <c r="AJ77" s="25">
        <v>3000</v>
      </c>
    </row>
    <row r="78" spans="1:38" ht="13.5" customHeight="1" x14ac:dyDescent="0.25">
      <c r="A78" s="10" t="s">
        <v>267</v>
      </c>
      <c r="B78" s="11" t="s">
        <v>61</v>
      </c>
      <c r="C78" s="10" t="s">
        <v>58</v>
      </c>
      <c r="AE78" s="26">
        <v>1127.6199999999999</v>
      </c>
      <c r="AK78" s="58"/>
      <c r="AL78" s="58">
        <v>60000</v>
      </c>
    </row>
    <row r="79" spans="1:38" ht="13.5" customHeight="1" x14ac:dyDescent="0.25">
      <c r="A79" s="10" t="s">
        <v>269</v>
      </c>
      <c r="B79" s="11" t="s">
        <v>57</v>
      </c>
      <c r="C79" s="10" t="s">
        <v>58</v>
      </c>
      <c r="AF79" s="26">
        <v>2000</v>
      </c>
      <c r="AH79" s="26">
        <v>2000</v>
      </c>
      <c r="AI79" s="25">
        <v>500</v>
      </c>
      <c r="AJ79" s="25">
        <v>500</v>
      </c>
    </row>
    <row r="80" spans="1:38" x14ac:dyDescent="0.25">
      <c r="A80" s="10" t="s">
        <v>270</v>
      </c>
      <c r="B80" s="11" t="s">
        <v>57</v>
      </c>
      <c r="C80" s="10" t="s">
        <v>58</v>
      </c>
      <c r="AF80" s="26">
        <v>1350</v>
      </c>
      <c r="AI80" s="25">
        <v>1350</v>
      </c>
      <c r="AJ80" s="25">
        <v>1350</v>
      </c>
      <c r="AK80" s="25">
        <v>1350</v>
      </c>
    </row>
    <row r="81" spans="1:40" x14ac:dyDescent="0.25">
      <c r="A81" s="10" t="s">
        <v>273</v>
      </c>
      <c r="B81" s="11" t="s">
        <v>57</v>
      </c>
      <c r="C81" s="10" t="s">
        <v>58</v>
      </c>
      <c r="AH81" s="26">
        <v>4100</v>
      </c>
      <c r="AI81" s="25">
        <v>4100</v>
      </c>
      <c r="AJ81" s="25">
        <v>600</v>
      </c>
      <c r="AK81" s="25">
        <v>600</v>
      </c>
    </row>
    <row r="82" spans="1:40" x14ac:dyDescent="0.25">
      <c r="A82" s="10" t="s">
        <v>272</v>
      </c>
      <c r="B82" s="11" t="s">
        <v>57</v>
      </c>
      <c r="C82" s="10" t="s">
        <v>58</v>
      </c>
      <c r="AG82" s="26">
        <v>500</v>
      </c>
      <c r="AH82" s="26">
        <f>2296.36-152.25-70.89-98.22</f>
        <v>1975.0000000000002</v>
      </c>
      <c r="AI82" s="25">
        <v>500</v>
      </c>
      <c r="AJ82" s="25"/>
      <c r="AK82" s="25"/>
    </row>
    <row r="83" spans="1:40" ht="13.5" hidden="1" customHeight="1" x14ac:dyDescent="0.25">
      <c r="AD83" s="57"/>
    </row>
    <row r="84" spans="1:40" ht="13.5" customHeight="1" x14ac:dyDescent="0.25">
      <c r="A84" s="10" t="s">
        <v>278</v>
      </c>
      <c r="B84" s="11" t="s">
        <v>57</v>
      </c>
      <c r="C84" s="10" t="s">
        <v>58</v>
      </c>
      <c r="AH84" s="26">
        <v>5000</v>
      </c>
      <c r="AI84" s="25"/>
      <c r="AJ84" s="25"/>
      <c r="AK84" s="25"/>
    </row>
    <row r="85" spans="1:40" ht="13.5" customHeight="1" x14ac:dyDescent="0.25">
      <c r="A85" s="10" t="s">
        <v>279</v>
      </c>
      <c r="B85" s="11" t="s">
        <v>57</v>
      </c>
      <c r="C85" s="10" t="s">
        <v>58</v>
      </c>
      <c r="AI85" s="25">
        <v>500</v>
      </c>
    </row>
    <row r="86" spans="1:40" ht="13.5" customHeight="1" x14ac:dyDescent="0.25">
      <c r="A86" s="10" t="s">
        <v>282</v>
      </c>
      <c r="B86" s="11" t="s">
        <v>57</v>
      </c>
      <c r="C86" s="10" t="s">
        <v>58</v>
      </c>
      <c r="AI86" s="25">
        <v>500</v>
      </c>
    </row>
    <row r="87" spans="1:40" ht="13.5" customHeight="1" x14ac:dyDescent="0.25">
      <c r="A87" s="10" t="s">
        <v>280</v>
      </c>
      <c r="B87" s="11" t="s">
        <v>61</v>
      </c>
      <c r="C87" s="10" t="s">
        <v>58</v>
      </c>
      <c r="AE87" s="10" t="s">
        <v>263</v>
      </c>
      <c r="AI87" s="25">
        <v>500</v>
      </c>
    </row>
    <row r="88" spans="1:40" ht="13.5" customHeight="1" x14ac:dyDescent="0.25">
      <c r="AD88" s="57">
        <f>SUM(AB3:AD87)</f>
        <v>36788</v>
      </c>
      <c r="AE88" s="56">
        <f>AD88*0.3</f>
        <v>11036.4</v>
      </c>
      <c r="AG88" s="57">
        <f>SUM(AE5:AG85)</f>
        <v>50610.85</v>
      </c>
    </row>
    <row r="89" spans="1:40" ht="13.5" customHeight="1" x14ac:dyDescent="0.25">
      <c r="AE89" s="10" t="s">
        <v>265</v>
      </c>
    </row>
    <row r="90" spans="1:40" ht="13.5" customHeight="1" x14ac:dyDescent="0.25">
      <c r="AH90" s="9" t="s">
        <v>263</v>
      </c>
      <c r="AK90" s="9" t="s">
        <v>263</v>
      </c>
      <c r="AN90" s="9" t="s">
        <v>263</v>
      </c>
    </row>
    <row r="91" spans="1:40" ht="13.5" customHeight="1" x14ac:dyDescent="0.25">
      <c r="AH91" s="56">
        <f>AG88*0.3</f>
        <v>15183.254999999999</v>
      </c>
      <c r="AJ91" s="10">
        <f>SUM(AH4:AJ87)</f>
        <v>92412.82</v>
      </c>
      <c r="AK91" s="56">
        <f>AJ91*0.3</f>
        <v>27723.846000000001</v>
      </c>
      <c r="AM91" s="10">
        <f>SUM(AK4:AM87)</f>
        <v>73602.5</v>
      </c>
      <c r="AN91" s="56">
        <f>AM91*0.3</f>
        <v>22080.75</v>
      </c>
    </row>
    <row r="95" spans="1:40" ht="13.5" customHeight="1" x14ac:dyDescent="0.25">
      <c r="A95" s="10" t="s">
        <v>281</v>
      </c>
    </row>
  </sheetData>
  <phoneticPr fontId="10" type="noConversion"/>
  <dataValidations count="2">
    <dataValidation type="list" allowBlank="1" showInputMessage="1" showErrorMessage="1" sqref="C3:C87" xr:uid="{823C2D0F-C968-4A15-A7D9-44E7C979AF10}">
      <formula1>"Yes, No"</formula1>
    </dataValidation>
    <dataValidation type="list" allowBlank="1" showInputMessage="1" showErrorMessage="1" sqref="B3:B87" xr:uid="{FDF08E3C-E9EF-4FB9-9781-698679BB0D22}">
      <formula1>"Commercial,  Residential, Furniture"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9A7F-4CA0-4AA9-8F80-A10804150553}">
  <sheetPr>
    <tabColor theme="9" tint="0.39997558519241921"/>
  </sheetPr>
  <dimension ref="A3:M15"/>
  <sheetViews>
    <sheetView workbookViewId="0">
      <selection activeCell="D5" sqref="D5"/>
    </sheetView>
  </sheetViews>
  <sheetFormatPr defaultRowHeight="15" x14ac:dyDescent="0.25"/>
  <cols>
    <col min="1" max="1" width="12" bestFit="1" customWidth="1"/>
    <col min="2" max="2" width="12.42578125" bestFit="1" customWidth="1"/>
    <col min="3" max="4" width="12.7109375" bestFit="1" customWidth="1"/>
    <col min="5" max="5" width="12.42578125" bestFit="1" customWidth="1"/>
    <col min="6" max="6" width="13.140625" bestFit="1" customWidth="1"/>
    <col min="7" max="7" width="12.42578125" bestFit="1" customWidth="1"/>
    <col min="8" max="8" width="11.85546875" bestFit="1" customWidth="1"/>
    <col min="9" max="9" width="12.7109375" bestFit="1" customWidth="1"/>
    <col min="10" max="10" width="12.85546875" bestFit="1" customWidth="1"/>
    <col min="11" max="11" width="12.5703125" bestFit="1" customWidth="1"/>
    <col min="12" max="12" width="12.85546875" bestFit="1" customWidth="1"/>
    <col min="13" max="13" width="13" bestFit="1" customWidth="1"/>
    <col min="14" max="25" width="13.7109375" bestFit="1" customWidth="1"/>
  </cols>
  <sheetData>
    <row r="3" spans="1:13" x14ac:dyDescent="0.25">
      <c r="A3" s="8" t="s">
        <v>30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116</v>
      </c>
      <c r="H3" t="s">
        <v>117</v>
      </c>
      <c r="I3" t="s">
        <v>118</v>
      </c>
      <c r="J3" t="s">
        <v>119</v>
      </c>
      <c r="K3" t="s">
        <v>120</v>
      </c>
      <c r="L3" t="s">
        <v>121</v>
      </c>
      <c r="M3" t="s">
        <v>122</v>
      </c>
    </row>
    <row r="4" spans="1:13" x14ac:dyDescent="0.25">
      <c r="A4" t="s">
        <v>61</v>
      </c>
      <c r="B4">
        <v>1</v>
      </c>
      <c r="D4">
        <v>7</v>
      </c>
      <c r="E4">
        <v>4</v>
      </c>
      <c r="F4">
        <v>2</v>
      </c>
      <c r="H4">
        <v>1</v>
      </c>
      <c r="M4">
        <v>2</v>
      </c>
    </row>
    <row r="5" spans="1:13" x14ac:dyDescent="0.25">
      <c r="A5" t="s">
        <v>57</v>
      </c>
      <c r="B5">
        <v>1</v>
      </c>
      <c r="C5">
        <v>1</v>
      </c>
      <c r="D5">
        <v>1</v>
      </c>
      <c r="E5">
        <v>3</v>
      </c>
      <c r="F5">
        <v>2</v>
      </c>
      <c r="G5">
        <v>5</v>
      </c>
      <c r="H5">
        <v>3</v>
      </c>
      <c r="I5">
        <v>5</v>
      </c>
      <c r="J5">
        <v>2</v>
      </c>
      <c r="K5">
        <v>1</v>
      </c>
      <c r="L5">
        <v>6</v>
      </c>
      <c r="M5">
        <v>2</v>
      </c>
    </row>
    <row r="6" spans="1:13" x14ac:dyDescent="0.25">
      <c r="A6" t="s">
        <v>276</v>
      </c>
    </row>
    <row r="7" spans="1:13" x14ac:dyDescent="0.25">
      <c r="A7" t="s">
        <v>74</v>
      </c>
      <c r="H7">
        <v>1</v>
      </c>
      <c r="I7">
        <v>1</v>
      </c>
      <c r="J7">
        <v>2</v>
      </c>
      <c r="K7">
        <v>1</v>
      </c>
      <c r="L7">
        <v>1</v>
      </c>
      <c r="M7">
        <v>1</v>
      </c>
    </row>
    <row r="8" spans="1:13" x14ac:dyDescent="0.25">
      <c r="A8" t="s">
        <v>123</v>
      </c>
      <c r="B8">
        <v>2</v>
      </c>
      <c r="C8">
        <v>1</v>
      </c>
      <c r="D8">
        <v>8</v>
      </c>
      <c r="E8">
        <v>7</v>
      </c>
      <c r="F8">
        <v>4</v>
      </c>
      <c r="G8">
        <v>5</v>
      </c>
      <c r="H8">
        <v>5</v>
      </c>
      <c r="I8">
        <v>6</v>
      </c>
      <c r="J8">
        <v>4</v>
      </c>
      <c r="K8">
        <v>2</v>
      </c>
      <c r="L8">
        <v>7</v>
      </c>
      <c r="M8">
        <v>5</v>
      </c>
    </row>
    <row r="10" spans="1:13" x14ac:dyDescent="0.25">
      <c r="A10" s="8" t="s">
        <v>30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</row>
    <row r="11" spans="1:13" x14ac:dyDescent="0.25">
      <c r="A11" s="15" t="s">
        <v>61</v>
      </c>
      <c r="B11" s="15">
        <v>3700</v>
      </c>
      <c r="C11" s="15"/>
      <c r="D11" s="15">
        <v>5800</v>
      </c>
      <c r="E11" s="15">
        <v>4650</v>
      </c>
      <c r="F11" s="15">
        <v>8220</v>
      </c>
      <c r="G11" s="15"/>
      <c r="H11" s="15">
        <v>1200</v>
      </c>
      <c r="I11" s="15"/>
      <c r="J11" s="15"/>
      <c r="K11" s="15"/>
      <c r="L11" s="15"/>
      <c r="M11" s="15">
        <v>6864</v>
      </c>
    </row>
    <row r="12" spans="1:13" x14ac:dyDescent="0.25">
      <c r="A12" s="15" t="s">
        <v>57</v>
      </c>
      <c r="B12" s="15">
        <v>640</v>
      </c>
      <c r="C12" s="15">
        <v>1160</v>
      </c>
      <c r="D12" s="15">
        <v>560</v>
      </c>
      <c r="E12" s="15">
        <v>3552.37</v>
      </c>
      <c r="F12" s="15">
        <v>1827.5</v>
      </c>
      <c r="G12" s="15">
        <v>4675</v>
      </c>
      <c r="H12" s="15">
        <v>5135</v>
      </c>
      <c r="I12" s="15">
        <v>7075</v>
      </c>
      <c r="J12" s="15">
        <v>2134</v>
      </c>
      <c r="K12" s="15">
        <v>1400</v>
      </c>
      <c r="L12" s="15">
        <v>5500</v>
      </c>
      <c r="M12" s="15">
        <v>1678.25</v>
      </c>
    </row>
    <row r="13" spans="1:13" x14ac:dyDescent="0.25">
      <c r="A13" s="15" t="s">
        <v>276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x14ac:dyDescent="0.25">
      <c r="A14" s="15" t="s">
        <v>74</v>
      </c>
      <c r="B14" s="15"/>
      <c r="C14" s="15"/>
      <c r="D14" s="15"/>
      <c r="E14" s="15"/>
      <c r="F14" s="15"/>
      <c r="G14" s="15"/>
      <c r="H14" s="15">
        <v>1568.58</v>
      </c>
      <c r="I14" s="15">
        <v>5673.56</v>
      </c>
      <c r="J14" s="15">
        <v>10532.689999999999</v>
      </c>
      <c r="K14" s="15">
        <v>2352.88</v>
      </c>
      <c r="L14" s="15">
        <v>2121.5399999999995</v>
      </c>
      <c r="M14" s="15">
        <v>3464.9400000000005</v>
      </c>
    </row>
    <row r="15" spans="1:13" x14ac:dyDescent="0.25">
      <c r="A15" s="15" t="s">
        <v>123</v>
      </c>
      <c r="B15" s="15">
        <v>4340</v>
      </c>
      <c r="C15" s="15">
        <v>1160</v>
      </c>
      <c r="D15" s="15">
        <v>6360</v>
      </c>
      <c r="E15" s="15">
        <v>8202.369999999999</v>
      </c>
      <c r="F15" s="15">
        <v>10047.5</v>
      </c>
      <c r="G15" s="15">
        <v>4675</v>
      </c>
      <c r="H15" s="15">
        <v>7903.58</v>
      </c>
      <c r="I15" s="15">
        <v>12748.560000000001</v>
      </c>
      <c r="J15" s="15">
        <v>12666.689999999999</v>
      </c>
      <c r="K15" s="15">
        <v>3752.88</v>
      </c>
      <c r="L15" s="15">
        <v>7621.5399999999991</v>
      </c>
      <c r="M15" s="15">
        <v>12007.19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49DC-3215-498A-877F-BDF323E5F1A9}">
  <sheetPr>
    <tabColor theme="9" tint="0.59999389629810485"/>
  </sheetPr>
  <dimension ref="A1:N83"/>
  <sheetViews>
    <sheetView workbookViewId="0">
      <pane xSplit="1" ySplit="3" topLeftCell="C49" activePane="bottomRight" state="frozen"/>
      <selection pane="topRight" activeCell="B1" sqref="B1"/>
      <selection pane="bottomLeft" activeCell="A4" sqref="A4"/>
      <selection pane="bottomRight" activeCell="G66" sqref="G66"/>
    </sheetView>
  </sheetViews>
  <sheetFormatPr defaultRowHeight="15" x14ac:dyDescent="0.25"/>
  <cols>
    <col min="1" max="1" width="36.85546875" bestFit="1" customWidth="1"/>
    <col min="2" max="2" width="13.7109375" bestFit="1" customWidth="1"/>
    <col min="3" max="4" width="14.140625" bestFit="1" customWidth="1"/>
    <col min="5" max="5" width="13.85546875" bestFit="1" customWidth="1"/>
    <col min="6" max="6" width="14.42578125" bestFit="1" customWidth="1"/>
    <col min="7" max="7" width="13.85546875" bestFit="1" customWidth="1"/>
    <col min="8" max="8" width="13.28515625" bestFit="1" customWidth="1"/>
    <col min="9" max="10" width="14.140625" bestFit="1" customWidth="1"/>
    <col min="11" max="11" width="13.85546875" bestFit="1" customWidth="1"/>
    <col min="12" max="12" width="14.140625" bestFit="1" customWidth="1"/>
    <col min="13" max="13" width="14.28515625" bestFit="1" customWidth="1"/>
    <col min="14" max="14" width="15.85546875" bestFit="1" customWidth="1"/>
    <col min="15" max="16" width="14.42578125" bestFit="1" customWidth="1"/>
  </cols>
  <sheetData>
    <row r="1" spans="1:13" x14ac:dyDescent="0.25">
      <c r="A1" s="14" t="s">
        <v>30</v>
      </c>
      <c r="B1" s="15" t="s">
        <v>136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25">
      <c r="A3" s="14" t="s">
        <v>0</v>
      </c>
      <c r="B3" s="15" t="s">
        <v>124</v>
      </c>
      <c r="C3" s="15" t="s">
        <v>125</v>
      </c>
      <c r="D3" s="15" t="s">
        <v>126</v>
      </c>
      <c r="E3" s="15" t="s">
        <v>127</v>
      </c>
      <c r="F3" s="15" t="s">
        <v>128</v>
      </c>
      <c r="G3" s="15" t="s">
        <v>129</v>
      </c>
      <c r="H3" s="15" t="s">
        <v>130</v>
      </c>
      <c r="I3" s="15" t="s">
        <v>131</v>
      </c>
      <c r="J3" s="15" t="s">
        <v>132</v>
      </c>
      <c r="K3" s="15" t="s">
        <v>133</v>
      </c>
      <c r="L3" s="15" t="s">
        <v>134</v>
      </c>
      <c r="M3" s="15" t="s">
        <v>135</v>
      </c>
    </row>
    <row r="4" spans="1:13" x14ac:dyDescent="0.25">
      <c r="A4" s="15" t="s">
        <v>19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3" x14ac:dyDescent="0.25">
      <c r="A5" s="15" t="s">
        <v>17</v>
      </c>
      <c r="B5" s="15"/>
      <c r="C5" s="15"/>
      <c r="D5" s="15"/>
      <c r="E5" s="15"/>
      <c r="F5" s="15"/>
      <c r="G5" s="15">
        <v>1250</v>
      </c>
      <c r="H5" s="15"/>
      <c r="I5" s="15"/>
      <c r="J5" s="15"/>
      <c r="K5" s="15"/>
      <c r="L5" s="15"/>
      <c r="M5" s="15"/>
    </row>
    <row r="6" spans="1:13" x14ac:dyDescent="0.25">
      <c r="A6" s="15" t="s">
        <v>15</v>
      </c>
      <c r="B6" s="15">
        <v>640</v>
      </c>
      <c r="C6" s="15">
        <v>1160</v>
      </c>
      <c r="D6" s="15"/>
      <c r="E6" s="15">
        <v>2099.87</v>
      </c>
      <c r="F6" s="15"/>
      <c r="G6" s="15">
        <v>1260</v>
      </c>
      <c r="H6" s="15"/>
      <c r="I6" s="15">
        <v>1100</v>
      </c>
      <c r="J6" s="15"/>
      <c r="K6" s="15"/>
      <c r="L6" s="15"/>
      <c r="M6" s="15"/>
    </row>
    <row r="7" spans="1:13" x14ac:dyDescent="0.25">
      <c r="A7" s="15" t="s">
        <v>65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x14ac:dyDescent="0.25">
      <c r="A8" s="15" t="s">
        <v>108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x14ac:dyDescent="0.25">
      <c r="A9" s="15" t="s">
        <v>106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x14ac:dyDescent="0.25">
      <c r="A10" s="15" t="s">
        <v>66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x14ac:dyDescent="0.25">
      <c r="A11" s="15" t="s">
        <v>105</v>
      </c>
      <c r="B11" s="15"/>
      <c r="C11" s="15"/>
      <c r="D11" s="15"/>
      <c r="E11" s="15"/>
      <c r="F11" s="15"/>
      <c r="G11" s="15"/>
      <c r="H11" s="15"/>
      <c r="I11" s="15">
        <v>2325</v>
      </c>
      <c r="J11" s="15"/>
      <c r="K11" s="15"/>
      <c r="L11" s="15"/>
      <c r="M11" s="15"/>
    </row>
    <row r="12" spans="1:13" x14ac:dyDescent="0.25">
      <c r="A12" s="15" t="s">
        <v>276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x14ac:dyDescent="0.25">
      <c r="A13" s="15" t="s">
        <v>62</v>
      </c>
      <c r="B13" s="15"/>
      <c r="C13" s="15"/>
      <c r="D13" s="15">
        <v>560</v>
      </c>
      <c r="E13" s="15"/>
      <c r="F13" s="15"/>
      <c r="G13" s="15"/>
      <c r="H13" s="15"/>
      <c r="I13" s="15"/>
      <c r="J13" s="15"/>
      <c r="K13" s="15"/>
      <c r="L13" s="15"/>
      <c r="M13" s="15"/>
    </row>
    <row r="14" spans="1:13" x14ac:dyDescent="0.25">
      <c r="A14" s="15" t="s">
        <v>64</v>
      </c>
      <c r="B14" s="15"/>
      <c r="C14" s="15"/>
      <c r="D14" s="15">
        <v>160</v>
      </c>
      <c r="E14" s="15"/>
      <c r="F14" s="15"/>
      <c r="G14" s="15"/>
      <c r="H14" s="15"/>
      <c r="I14" s="15"/>
      <c r="J14" s="15"/>
      <c r="K14" s="15"/>
      <c r="L14" s="15"/>
      <c r="M14" s="15"/>
    </row>
    <row r="15" spans="1:13" x14ac:dyDescent="0.25">
      <c r="A15" s="15" t="s">
        <v>76</v>
      </c>
      <c r="B15" s="15"/>
      <c r="C15" s="15"/>
      <c r="D15" s="15">
        <v>210</v>
      </c>
      <c r="E15" s="15"/>
      <c r="F15" s="15"/>
      <c r="G15" s="15"/>
      <c r="H15" s="15"/>
      <c r="I15" s="15"/>
      <c r="J15" s="15"/>
      <c r="K15" s="15"/>
      <c r="L15" s="15"/>
      <c r="M15" s="15"/>
    </row>
    <row r="16" spans="1:13" x14ac:dyDescent="0.25">
      <c r="A16" s="15" t="s">
        <v>67</v>
      </c>
      <c r="B16" s="15"/>
      <c r="C16" s="15"/>
      <c r="D16" s="15">
        <v>180</v>
      </c>
      <c r="E16" s="15"/>
      <c r="F16" s="15"/>
      <c r="G16" s="15"/>
      <c r="H16" s="15"/>
      <c r="I16" s="15"/>
      <c r="J16" s="15"/>
      <c r="K16" s="15"/>
      <c r="L16" s="15"/>
      <c r="M16" s="15"/>
    </row>
    <row r="17" spans="1:13" x14ac:dyDescent="0.25">
      <c r="A17" s="15" t="s">
        <v>78</v>
      </c>
      <c r="B17" s="15">
        <v>3700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x14ac:dyDescent="0.25">
      <c r="A18" s="15" t="s">
        <v>79</v>
      </c>
      <c r="B18" s="15"/>
      <c r="C18" s="15"/>
      <c r="D18" s="15">
        <v>210</v>
      </c>
      <c r="E18" s="15"/>
      <c r="F18" s="15"/>
      <c r="G18" s="15"/>
      <c r="H18" s="15"/>
      <c r="I18" s="15"/>
      <c r="J18" s="15"/>
      <c r="K18" s="15"/>
      <c r="L18" s="15"/>
      <c r="M18" s="15"/>
    </row>
    <row r="19" spans="1:13" x14ac:dyDescent="0.25">
      <c r="A19" s="15" t="s">
        <v>80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x14ac:dyDescent="0.25">
      <c r="A20" s="15" t="s">
        <v>83</v>
      </c>
      <c r="B20" s="15"/>
      <c r="C20" s="15"/>
      <c r="D20" s="15"/>
      <c r="E20" s="15">
        <v>480</v>
      </c>
      <c r="F20" s="15"/>
      <c r="G20" s="15"/>
      <c r="H20" s="15"/>
      <c r="I20" s="15"/>
      <c r="J20" s="15"/>
      <c r="K20" s="15"/>
      <c r="L20" s="15"/>
      <c r="M20" s="15"/>
    </row>
    <row r="21" spans="1:13" x14ac:dyDescent="0.25">
      <c r="A21" s="15" t="s">
        <v>84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>
        <v>6114</v>
      </c>
    </row>
    <row r="22" spans="1:13" x14ac:dyDescent="0.25">
      <c r="A22" s="15" t="s">
        <v>85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x14ac:dyDescent="0.25">
      <c r="A23" s="15" t="s">
        <v>87</v>
      </c>
      <c r="B23" s="15"/>
      <c r="C23" s="15"/>
      <c r="D23" s="15">
        <v>4140</v>
      </c>
      <c r="E23" s="15"/>
      <c r="F23" s="15"/>
      <c r="G23" s="15"/>
      <c r="H23" s="15"/>
      <c r="I23" s="15"/>
      <c r="J23" s="15"/>
      <c r="K23" s="15"/>
      <c r="L23" s="15"/>
      <c r="M23" s="15"/>
    </row>
    <row r="24" spans="1:13" x14ac:dyDescent="0.25">
      <c r="A24" s="15" t="s">
        <v>81</v>
      </c>
      <c r="B24" s="15"/>
      <c r="C24" s="15"/>
      <c r="D24" s="15">
        <v>210</v>
      </c>
      <c r="E24" s="15"/>
      <c r="F24" s="15"/>
      <c r="G24" s="15"/>
      <c r="H24" s="15"/>
      <c r="I24" s="15"/>
      <c r="J24" s="15"/>
      <c r="K24" s="15"/>
      <c r="L24" s="15"/>
      <c r="M24" s="15"/>
    </row>
    <row r="25" spans="1:13" x14ac:dyDescent="0.25">
      <c r="A25" s="15" t="s">
        <v>86</v>
      </c>
      <c r="B25" s="15"/>
      <c r="C25" s="15"/>
      <c r="D25" s="15">
        <v>690</v>
      </c>
      <c r="E25" s="15"/>
      <c r="F25" s="15"/>
      <c r="G25" s="15"/>
      <c r="H25" s="15"/>
      <c r="I25" s="15"/>
      <c r="J25" s="15"/>
      <c r="K25" s="15"/>
      <c r="L25" s="15"/>
      <c r="M25" s="15"/>
    </row>
    <row r="26" spans="1:13" x14ac:dyDescent="0.25">
      <c r="A26" s="15" t="s">
        <v>56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x14ac:dyDescent="0.25">
      <c r="A27" s="15" t="s">
        <v>82</v>
      </c>
      <c r="B27" s="15"/>
      <c r="C27" s="15"/>
      <c r="D27" s="15"/>
      <c r="E27" s="15">
        <v>840</v>
      </c>
      <c r="F27" s="15"/>
      <c r="G27" s="15"/>
      <c r="H27" s="15"/>
      <c r="I27" s="15"/>
      <c r="J27" s="15"/>
      <c r="K27" s="15"/>
      <c r="L27" s="15"/>
      <c r="M27" s="15"/>
    </row>
    <row r="28" spans="1:13" x14ac:dyDescent="0.25">
      <c r="A28" s="15" t="s">
        <v>72</v>
      </c>
      <c r="B28" s="15"/>
      <c r="C28" s="15"/>
      <c r="D28" s="15"/>
      <c r="E28" s="15"/>
      <c r="F28" s="15">
        <v>8220</v>
      </c>
      <c r="G28" s="15"/>
      <c r="H28" s="15"/>
      <c r="I28" s="15"/>
      <c r="J28" s="15"/>
      <c r="K28" s="15"/>
      <c r="L28" s="15"/>
      <c r="M28" s="15"/>
    </row>
    <row r="29" spans="1:13" x14ac:dyDescent="0.25">
      <c r="A29" s="15" t="s">
        <v>70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1:13" x14ac:dyDescent="0.25">
      <c r="A30" s="15" t="s">
        <v>91</v>
      </c>
      <c r="B30" s="15"/>
      <c r="C30" s="15"/>
      <c r="D30" s="15"/>
      <c r="E30" s="15">
        <v>300</v>
      </c>
      <c r="F30" s="15"/>
      <c r="G30" s="15"/>
      <c r="H30" s="15"/>
      <c r="I30" s="15"/>
      <c r="J30" s="15"/>
      <c r="K30" s="15"/>
      <c r="L30" s="15"/>
      <c r="M30" s="15"/>
    </row>
    <row r="31" spans="1:13" x14ac:dyDescent="0.25">
      <c r="A31" s="15" t="s">
        <v>77</v>
      </c>
      <c r="B31" s="15"/>
      <c r="C31" s="15"/>
      <c r="D31" s="15"/>
      <c r="E31" s="15">
        <v>3030</v>
      </c>
      <c r="F31" s="15"/>
      <c r="G31" s="15"/>
      <c r="H31" s="15"/>
      <c r="I31" s="15"/>
      <c r="J31" s="15"/>
      <c r="K31" s="15"/>
      <c r="L31" s="15"/>
      <c r="M31" s="15"/>
    </row>
    <row r="32" spans="1:13" x14ac:dyDescent="0.25">
      <c r="A32" s="15" t="s">
        <v>90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4" x14ac:dyDescent="0.25">
      <c r="A33" s="15" t="s">
        <v>69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4" x14ac:dyDescent="0.25">
      <c r="A34" s="15" t="s">
        <v>107</v>
      </c>
      <c r="B34" s="15"/>
      <c r="C34" s="15"/>
      <c r="D34" s="15"/>
      <c r="E34" s="15"/>
      <c r="F34" s="15"/>
      <c r="G34" s="15"/>
      <c r="H34" s="15">
        <v>660</v>
      </c>
      <c r="I34" s="15"/>
      <c r="J34" s="15"/>
      <c r="K34" s="15"/>
      <c r="L34" s="15"/>
      <c r="M34" s="15"/>
    </row>
    <row r="35" spans="1:14" x14ac:dyDescent="0.25">
      <c r="A35" s="15" t="s">
        <v>73</v>
      </c>
      <c r="B35" s="15"/>
      <c r="C35" s="15"/>
      <c r="D35" s="15"/>
      <c r="E35" s="15"/>
      <c r="F35" s="15">
        <v>0</v>
      </c>
      <c r="G35" s="15"/>
      <c r="H35" s="15"/>
      <c r="I35" s="15">
        <v>5673.56</v>
      </c>
      <c r="J35" s="15">
        <v>4572.3099999999995</v>
      </c>
      <c r="K35" s="15"/>
      <c r="L35" s="15">
        <v>2121.5399999999995</v>
      </c>
      <c r="M35" s="15">
        <v>3464.9400000000005</v>
      </c>
    </row>
    <row r="36" spans="1:14" x14ac:dyDescent="0.25">
      <c r="A36" s="15" t="s">
        <v>60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4" x14ac:dyDescent="0.25">
      <c r="A37" s="15" t="s">
        <v>59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4" x14ac:dyDescent="0.25">
      <c r="A38" s="15" t="s">
        <v>104</v>
      </c>
      <c r="B38" s="15"/>
      <c r="C38" s="15"/>
      <c r="D38" s="15"/>
      <c r="E38" s="15"/>
      <c r="F38" s="15">
        <v>425</v>
      </c>
      <c r="G38" s="15">
        <v>425</v>
      </c>
      <c r="H38" s="15"/>
      <c r="I38" s="15"/>
      <c r="J38" s="15"/>
      <c r="K38" s="15"/>
      <c r="L38" s="15"/>
      <c r="M38" s="15"/>
    </row>
    <row r="39" spans="1:14" x14ac:dyDescent="0.25">
      <c r="A39" s="15" t="s">
        <v>88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4" x14ac:dyDescent="0.25">
      <c r="A40" s="15" t="s">
        <v>89</v>
      </c>
      <c r="B40" s="15"/>
      <c r="C40" s="15"/>
      <c r="D40" s="15"/>
      <c r="E40" s="15"/>
      <c r="F40" s="15"/>
      <c r="G40" s="15"/>
      <c r="H40" s="15">
        <v>1568.58</v>
      </c>
      <c r="I40" s="15"/>
      <c r="J40" s="15"/>
      <c r="K40" s="15"/>
      <c r="L40" s="15"/>
      <c r="M40" s="15"/>
    </row>
    <row r="41" spans="1:14" x14ac:dyDescent="0.25">
      <c r="A41" s="15" t="s">
        <v>97</v>
      </c>
      <c r="B41" s="15"/>
      <c r="C41" s="15"/>
      <c r="D41" s="15"/>
      <c r="E41" s="15"/>
      <c r="F41" s="15"/>
      <c r="G41" s="15"/>
      <c r="H41" s="15">
        <v>975</v>
      </c>
      <c r="I41" s="15"/>
      <c r="J41" s="15"/>
      <c r="K41" s="15"/>
      <c r="L41" s="15">
        <v>975</v>
      </c>
      <c r="M41" s="15"/>
      <c r="N41" s="15"/>
    </row>
    <row r="42" spans="1:14" x14ac:dyDescent="0.25">
      <c r="A42" s="15" t="s">
        <v>102</v>
      </c>
      <c r="B42" s="15"/>
      <c r="C42" s="15"/>
      <c r="D42" s="15"/>
      <c r="E42" s="15"/>
      <c r="F42" s="15"/>
      <c r="G42" s="15"/>
      <c r="H42" s="15">
        <v>1200</v>
      </c>
      <c r="I42" s="15"/>
      <c r="J42" s="15"/>
      <c r="K42" s="15"/>
      <c r="L42" s="15"/>
      <c r="M42" s="15"/>
    </row>
    <row r="43" spans="1:14" x14ac:dyDescent="0.25">
      <c r="A43" s="15" t="s">
        <v>93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4" x14ac:dyDescent="0.25">
      <c r="A44" s="15" t="s">
        <v>68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4" x14ac:dyDescent="0.25">
      <c r="A45" s="15" t="s">
        <v>109</v>
      </c>
      <c r="B45" s="15"/>
      <c r="C45" s="15"/>
      <c r="D45" s="15"/>
      <c r="E45" s="15"/>
      <c r="F45" s="15"/>
      <c r="G45" s="15"/>
      <c r="H45" s="15"/>
      <c r="I45" s="15"/>
      <c r="J45" s="15">
        <v>5960.38</v>
      </c>
      <c r="K45" s="15">
        <v>2352.88</v>
      </c>
      <c r="L45" s="15"/>
      <c r="M45" s="15">
        <v>750</v>
      </c>
    </row>
    <row r="46" spans="1:14" x14ac:dyDescent="0.25">
      <c r="A46" s="15" t="s">
        <v>96</v>
      </c>
      <c r="B46" s="15"/>
      <c r="C46" s="15"/>
      <c r="D46" s="15"/>
      <c r="E46" s="15"/>
      <c r="F46" s="15"/>
      <c r="G46" s="15">
        <v>740</v>
      </c>
      <c r="H46" s="15"/>
      <c r="I46" s="15">
        <v>750</v>
      </c>
      <c r="J46" s="15"/>
      <c r="K46" s="15"/>
      <c r="L46" s="15">
        <v>750</v>
      </c>
      <c r="M46" s="15"/>
    </row>
    <row r="47" spans="1:14" x14ac:dyDescent="0.25">
      <c r="A47" s="15" t="s">
        <v>110</v>
      </c>
      <c r="B47" s="15"/>
      <c r="C47" s="15"/>
      <c r="D47" s="15"/>
      <c r="E47" s="15"/>
      <c r="F47" s="15"/>
      <c r="G47" s="15"/>
      <c r="H47" s="15"/>
      <c r="I47" s="15"/>
      <c r="J47" s="15">
        <v>750</v>
      </c>
      <c r="K47" s="15"/>
      <c r="L47" s="15">
        <v>750</v>
      </c>
      <c r="M47" s="15"/>
    </row>
    <row r="48" spans="1:14" x14ac:dyDescent="0.25">
      <c r="A48" s="15" t="s">
        <v>92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4" x14ac:dyDescent="0.25">
      <c r="A49" s="15" t="s">
        <v>239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>
        <v>1178.25</v>
      </c>
    </row>
    <row r="50" spans="1:14" x14ac:dyDescent="0.25">
      <c r="A50" s="15" t="s">
        <v>240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4" x14ac:dyDescent="0.25">
      <c r="A51" s="15" t="s">
        <v>241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4" x14ac:dyDescent="0.25">
      <c r="A52" s="15" t="s">
        <v>243</v>
      </c>
      <c r="B52" s="15"/>
      <c r="C52" s="15"/>
      <c r="D52" s="15"/>
      <c r="E52" s="15">
        <v>240</v>
      </c>
      <c r="F52" s="15">
        <v>1402.5</v>
      </c>
      <c r="G52" s="15"/>
      <c r="H52" s="15"/>
      <c r="I52" s="15"/>
      <c r="J52" s="15"/>
      <c r="K52" s="15"/>
      <c r="L52" s="15"/>
      <c r="M52" s="15"/>
    </row>
    <row r="53" spans="1:14" x14ac:dyDescent="0.25">
      <c r="A53" s="15" t="s">
        <v>242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>
        <v>500</v>
      </c>
      <c r="M53" s="15"/>
    </row>
    <row r="54" spans="1:14" x14ac:dyDescent="0.25">
      <c r="A54" s="15" t="s">
        <v>246</v>
      </c>
      <c r="B54" s="15"/>
      <c r="C54" s="15"/>
      <c r="D54" s="15"/>
      <c r="E54" s="15">
        <v>1212.5</v>
      </c>
      <c r="F54" s="15"/>
      <c r="G54" s="15"/>
      <c r="H54" s="15"/>
      <c r="I54" s="15">
        <v>1212.5</v>
      </c>
      <c r="J54" s="15"/>
      <c r="K54" s="15"/>
      <c r="L54" s="15">
        <v>1212.5</v>
      </c>
      <c r="M54" s="15"/>
    </row>
    <row r="55" spans="1:14" x14ac:dyDescent="0.25">
      <c r="A55" s="15" t="s">
        <v>245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>
        <v>500</v>
      </c>
    </row>
    <row r="56" spans="1:14" x14ac:dyDescent="0.25">
      <c r="A56" s="15" t="s">
        <v>244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4" x14ac:dyDescent="0.25">
      <c r="A57" s="15" t="s">
        <v>247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4" x14ac:dyDescent="0.25">
      <c r="A58" s="15" t="s">
        <v>251</v>
      </c>
      <c r="B58" s="15"/>
      <c r="C58" s="15"/>
      <c r="D58" s="15"/>
      <c r="E58" s="15"/>
      <c r="F58" s="15"/>
      <c r="G58" s="15"/>
      <c r="H58" s="15"/>
      <c r="I58" s="15"/>
      <c r="J58" s="15"/>
      <c r="K58" s="15">
        <v>1400</v>
      </c>
      <c r="L58" s="15"/>
      <c r="M58" s="15"/>
    </row>
    <row r="59" spans="1:14" x14ac:dyDescent="0.25">
      <c r="A59" s="15" t="s">
        <v>252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4" x14ac:dyDescent="0.25">
      <c r="A60" s="15" t="s">
        <v>253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4" x14ac:dyDescent="0.25">
      <c r="A61" s="15" t="s">
        <v>250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4" x14ac:dyDescent="0.25">
      <c r="A62" s="15" t="s">
        <v>249</v>
      </c>
      <c r="B62" s="15"/>
      <c r="C62" s="15"/>
      <c r="D62" s="15"/>
      <c r="E62" s="15"/>
      <c r="F62" s="15"/>
      <c r="G62" s="15"/>
      <c r="H62" s="15"/>
      <c r="I62" s="15">
        <v>1687.5</v>
      </c>
      <c r="J62" s="15"/>
      <c r="K62" s="15"/>
      <c r="L62" s="15">
        <v>1312.5</v>
      </c>
      <c r="M62" s="15"/>
    </row>
    <row r="63" spans="1:14" x14ac:dyDescent="0.25">
      <c r="A63" s="15" t="s">
        <v>248</v>
      </c>
      <c r="B63" s="15"/>
      <c r="C63" s="15"/>
      <c r="D63" s="15"/>
      <c r="E63" s="15"/>
      <c r="F63" s="15"/>
      <c r="G63" s="15"/>
      <c r="H63" s="15">
        <v>3500</v>
      </c>
      <c r="I63" s="15"/>
      <c r="J63" s="15"/>
      <c r="K63" s="15"/>
      <c r="L63" s="15"/>
      <c r="M63" s="15"/>
      <c r="N63" s="15">
        <f>SUM(B63:M63)</f>
        <v>3500</v>
      </c>
    </row>
    <row r="64" spans="1:14" x14ac:dyDescent="0.25">
      <c r="A64" s="15" t="s">
        <v>254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x14ac:dyDescent="0.25">
      <c r="A65" s="15" t="s">
        <v>255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x14ac:dyDescent="0.25">
      <c r="A66" s="15" t="s">
        <v>256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x14ac:dyDescent="0.25">
      <c r="A67" s="15" t="s">
        <v>257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x14ac:dyDescent="0.25">
      <c r="A68" s="15" t="s">
        <v>258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x14ac:dyDescent="0.25">
      <c r="A69" s="15" t="s">
        <v>260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x14ac:dyDescent="0.25">
      <c r="A70" s="15" t="s">
        <v>259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x14ac:dyDescent="0.25">
      <c r="A71" s="15" t="s">
        <v>264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x14ac:dyDescent="0.25">
      <c r="A72" s="15" t="s">
        <v>266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x14ac:dyDescent="0.25">
      <c r="A73" s="15" t="s">
        <v>267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x14ac:dyDescent="0.25">
      <c r="A74" s="15" t="s">
        <v>268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spans="1:13" x14ac:dyDescent="0.25">
      <c r="A75" s="15" t="s">
        <v>269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x14ac:dyDescent="0.25">
      <c r="A76" s="15" t="s">
        <v>270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x14ac:dyDescent="0.25">
      <c r="A77" s="15" t="s">
        <v>271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</row>
    <row r="78" spans="1:13" x14ac:dyDescent="0.25">
      <c r="A78" s="15" t="s">
        <v>273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</row>
    <row r="79" spans="1:13" x14ac:dyDescent="0.25">
      <c r="A79" s="15" t="s">
        <v>272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13" x14ac:dyDescent="0.25">
      <c r="A80" s="15" t="s">
        <v>275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x14ac:dyDescent="0.25">
      <c r="A81" s="15" t="s">
        <v>274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x14ac:dyDescent="0.25">
      <c r="A82" s="15" t="s">
        <v>277</v>
      </c>
      <c r="B82" s="15"/>
      <c r="C82" s="15"/>
      <c r="D82" s="15"/>
      <c r="E82" s="15"/>
      <c r="F82" s="15"/>
      <c r="G82" s="15">
        <v>1000</v>
      </c>
      <c r="H82" s="15"/>
      <c r="I82" s="15"/>
      <c r="J82" s="15">
        <v>1384</v>
      </c>
      <c r="K82" s="15"/>
      <c r="L82" s="15"/>
      <c r="M82" s="15"/>
    </row>
    <row r="83" spans="1:13" x14ac:dyDescent="0.25">
      <c r="A83" s="15" t="s">
        <v>123</v>
      </c>
      <c r="B83" s="15">
        <v>4340</v>
      </c>
      <c r="C83" s="15">
        <v>1160</v>
      </c>
      <c r="D83" s="15">
        <v>6360</v>
      </c>
      <c r="E83" s="15">
        <v>8202.369999999999</v>
      </c>
      <c r="F83" s="15">
        <v>10047.5</v>
      </c>
      <c r="G83" s="15">
        <v>4675</v>
      </c>
      <c r="H83" s="15">
        <v>7903.58</v>
      </c>
      <c r="I83" s="15">
        <v>12748.560000000001</v>
      </c>
      <c r="J83" s="15">
        <v>12666.689999999999</v>
      </c>
      <c r="K83" s="15">
        <v>3752.88</v>
      </c>
      <c r="L83" s="15">
        <v>7621.5399999999991</v>
      </c>
      <c r="M83" s="15">
        <v>12007.19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C632-517E-4821-B2B1-622551E05066}">
  <sheetPr>
    <tabColor theme="5" tint="0.39997558519241921"/>
  </sheetPr>
  <dimension ref="A3:M15"/>
  <sheetViews>
    <sheetView workbookViewId="0">
      <selection activeCell="B16" sqref="B16"/>
    </sheetView>
  </sheetViews>
  <sheetFormatPr defaultRowHeight="15" x14ac:dyDescent="0.25"/>
  <cols>
    <col min="1" max="1" width="12" bestFit="1" customWidth="1"/>
    <col min="2" max="2" width="12.42578125" bestFit="1" customWidth="1"/>
    <col min="3" max="4" width="12.7109375" bestFit="1" customWidth="1"/>
    <col min="5" max="5" width="12.42578125" bestFit="1" customWidth="1"/>
    <col min="6" max="6" width="13.140625" bestFit="1" customWidth="1"/>
    <col min="7" max="7" width="12.42578125" bestFit="1" customWidth="1"/>
    <col min="8" max="8" width="11.85546875" bestFit="1" customWidth="1"/>
    <col min="9" max="9" width="12.7109375" bestFit="1" customWidth="1"/>
    <col min="10" max="10" width="12.85546875" bestFit="1" customWidth="1"/>
    <col min="11" max="11" width="12.5703125" bestFit="1" customWidth="1"/>
    <col min="12" max="12" width="12.85546875" bestFit="1" customWidth="1"/>
    <col min="13" max="13" width="13" bestFit="1" customWidth="1"/>
    <col min="14" max="14" width="7.42578125" bestFit="1" customWidth="1"/>
    <col min="15" max="16" width="12.140625" bestFit="1" customWidth="1"/>
    <col min="17" max="17" width="11.42578125" bestFit="1" customWidth="1"/>
    <col min="19" max="19" width="12.140625" bestFit="1" customWidth="1"/>
    <col min="20" max="20" width="11.140625" bestFit="1" customWidth="1"/>
    <col min="21" max="23" width="12.140625" bestFit="1" customWidth="1"/>
    <col min="24" max="24" width="11.42578125" bestFit="1" customWidth="1"/>
  </cols>
  <sheetData>
    <row r="3" spans="1:13" x14ac:dyDescent="0.25">
      <c r="A3" s="8" t="s">
        <v>30</v>
      </c>
      <c r="B3" t="s">
        <v>137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  <c r="J3" t="s">
        <v>145</v>
      </c>
      <c r="K3" t="s">
        <v>146</v>
      </c>
      <c r="L3" t="s">
        <v>147</v>
      </c>
      <c r="M3" t="s">
        <v>148</v>
      </c>
    </row>
    <row r="4" spans="1:13" x14ac:dyDescent="0.25">
      <c r="A4" t="s">
        <v>61</v>
      </c>
      <c r="D4">
        <v>2</v>
      </c>
      <c r="F4">
        <v>2</v>
      </c>
      <c r="H4">
        <v>1</v>
      </c>
      <c r="J4">
        <v>1</v>
      </c>
      <c r="L4">
        <v>2</v>
      </c>
    </row>
    <row r="5" spans="1:13" x14ac:dyDescent="0.25">
      <c r="A5" t="s">
        <v>57</v>
      </c>
      <c r="B5">
        <v>1</v>
      </c>
      <c r="C5">
        <v>2</v>
      </c>
      <c r="D5">
        <v>3</v>
      </c>
      <c r="F5">
        <v>1</v>
      </c>
      <c r="G5">
        <v>2</v>
      </c>
      <c r="I5">
        <v>3</v>
      </c>
      <c r="J5">
        <v>3</v>
      </c>
      <c r="L5">
        <v>1</v>
      </c>
      <c r="M5">
        <v>1</v>
      </c>
    </row>
    <row r="6" spans="1:13" x14ac:dyDescent="0.25">
      <c r="A6" t="s">
        <v>276</v>
      </c>
    </row>
    <row r="7" spans="1:13" x14ac:dyDescent="0.25">
      <c r="A7" t="s">
        <v>74</v>
      </c>
    </row>
    <row r="8" spans="1:13" x14ac:dyDescent="0.25">
      <c r="A8" t="s">
        <v>123</v>
      </c>
      <c r="B8">
        <v>1</v>
      </c>
      <c r="C8">
        <v>2</v>
      </c>
      <c r="D8">
        <v>5</v>
      </c>
      <c r="F8">
        <v>3</v>
      </c>
      <c r="G8">
        <v>2</v>
      </c>
      <c r="H8">
        <v>1</v>
      </c>
      <c r="I8">
        <v>3</v>
      </c>
      <c r="J8">
        <v>4</v>
      </c>
      <c r="L8">
        <v>3</v>
      </c>
      <c r="M8">
        <v>1</v>
      </c>
    </row>
    <row r="10" spans="1:13" x14ac:dyDescent="0.25">
      <c r="A10" s="8" t="s">
        <v>30</v>
      </c>
      <c r="B10" t="s">
        <v>149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H10" t="s">
        <v>155</v>
      </c>
      <c r="I10" t="s">
        <v>156</v>
      </c>
      <c r="J10" t="s">
        <v>157</v>
      </c>
      <c r="K10" t="s">
        <v>158</v>
      </c>
      <c r="L10" t="s">
        <v>159</v>
      </c>
      <c r="M10" t="s">
        <v>160</v>
      </c>
    </row>
    <row r="11" spans="1:13" x14ac:dyDescent="0.25">
      <c r="A11" s="15" t="s">
        <v>61</v>
      </c>
      <c r="B11" s="15"/>
      <c r="C11" s="15"/>
      <c r="D11" s="15">
        <v>6500</v>
      </c>
      <c r="E11" s="15"/>
      <c r="F11" s="15">
        <v>11830</v>
      </c>
      <c r="G11" s="15"/>
      <c r="H11" s="15">
        <v>270</v>
      </c>
      <c r="I11" s="15"/>
      <c r="J11" s="15">
        <v>1980</v>
      </c>
      <c r="K11" s="15"/>
      <c r="L11" s="15">
        <v>3060</v>
      </c>
      <c r="M11" s="15"/>
    </row>
    <row r="12" spans="1:13" x14ac:dyDescent="0.25">
      <c r="A12" s="15" t="s">
        <v>57</v>
      </c>
      <c r="B12" s="15">
        <v>940</v>
      </c>
      <c r="C12" s="15">
        <v>1060</v>
      </c>
      <c r="D12" s="15">
        <v>4170</v>
      </c>
      <c r="E12" s="15"/>
      <c r="F12" s="15">
        <v>2480</v>
      </c>
      <c r="G12" s="15">
        <v>850</v>
      </c>
      <c r="H12" s="15"/>
      <c r="I12" s="15">
        <v>4792</v>
      </c>
      <c r="J12" s="15">
        <v>4488</v>
      </c>
      <c r="K12" s="15"/>
      <c r="L12" s="15">
        <v>1250</v>
      </c>
      <c r="M12" s="15">
        <v>640.00000000000011</v>
      </c>
    </row>
    <row r="13" spans="1:13" x14ac:dyDescent="0.25">
      <c r="A13" s="15" t="s">
        <v>276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x14ac:dyDescent="0.25">
      <c r="A14" s="15" t="s">
        <v>74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x14ac:dyDescent="0.25">
      <c r="A15" s="15" t="s">
        <v>123</v>
      </c>
      <c r="B15" s="15">
        <v>940</v>
      </c>
      <c r="C15" s="15">
        <v>1060</v>
      </c>
      <c r="D15" s="15">
        <v>10670</v>
      </c>
      <c r="E15" s="15"/>
      <c r="F15" s="15">
        <v>14310</v>
      </c>
      <c r="G15" s="15">
        <v>850</v>
      </c>
      <c r="H15" s="15">
        <v>270</v>
      </c>
      <c r="I15" s="15">
        <v>4792</v>
      </c>
      <c r="J15" s="15">
        <v>6468</v>
      </c>
      <c r="K15" s="15"/>
      <c r="L15" s="15">
        <v>4310</v>
      </c>
      <c r="M15" s="15">
        <v>640.00000000000011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6CD6-4B75-45FD-B7B0-66FD0939A686}">
  <sheetPr>
    <tabColor theme="5" tint="0.59999389629810485"/>
  </sheetPr>
  <dimension ref="A1:M83"/>
  <sheetViews>
    <sheetView topLeftCell="A22" workbookViewId="0">
      <selection activeCell="B16" sqref="B16"/>
    </sheetView>
  </sheetViews>
  <sheetFormatPr defaultColWidth="9.140625" defaultRowHeight="15" x14ac:dyDescent="0.25"/>
  <cols>
    <col min="1" max="1" width="36.85546875" style="15" bestFit="1" customWidth="1"/>
    <col min="2" max="2" width="13.7109375" style="15" bestFit="1" customWidth="1"/>
    <col min="3" max="4" width="14.140625" style="15" bestFit="1" customWidth="1"/>
    <col min="5" max="5" width="13.85546875" style="15" bestFit="1" customWidth="1"/>
    <col min="6" max="6" width="14.42578125" style="15" bestFit="1" customWidth="1"/>
    <col min="7" max="7" width="13.85546875" style="15" bestFit="1" customWidth="1"/>
    <col min="8" max="8" width="13.28515625" style="15" bestFit="1" customWidth="1"/>
    <col min="9" max="10" width="14.140625" style="15" bestFit="1" customWidth="1"/>
    <col min="11" max="11" width="13.85546875" style="15" bestFit="1" customWidth="1"/>
    <col min="12" max="12" width="14.140625" style="15" bestFit="1" customWidth="1"/>
    <col min="13" max="13" width="14.28515625" style="15" bestFit="1" customWidth="1"/>
    <col min="14" max="14" width="12.140625" style="15" bestFit="1" customWidth="1"/>
    <col min="15" max="15" width="11.42578125" style="15" bestFit="1" customWidth="1"/>
    <col min="16" max="21" width="12.140625" style="15" bestFit="1" customWidth="1"/>
    <col min="22" max="23" width="11.42578125" style="15" bestFit="1" customWidth="1"/>
    <col min="24" max="16384" width="9.140625" style="15"/>
  </cols>
  <sheetData>
    <row r="1" spans="1:13" x14ac:dyDescent="0.25">
      <c r="A1" s="14" t="s">
        <v>30</v>
      </c>
      <c r="B1" s="15" t="s">
        <v>136</v>
      </c>
    </row>
    <row r="3" spans="1:13" x14ac:dyDescent="0.25">
      <c r="A3" s="14" t="s">
        <v>0</v>
      </c>
      <c r="B3" s="15" t="s">
        <v>149</v>
      </c>
      <c r="C3" s="15" t="s">
        <v>150</v>
      </c>
      <c r="D3" s="15" t="s">
        <v>151</v>
      </c>
      <c r="E3" s="15" t="s">
        <v>152</v>
      </c>
      <c r="F3" s="15" t="s">
        <v>153</v>
      </c>
      <c r="G3" s="15" t="s">
        <v>154</v>
      </c>
      <c r="H3" s="15" t="s">
        <v>155</v>
      </c>
      <c r="I3" s="15" t="s">
        <v>156</v>
      </c>
      <c r="J3" s="15" t="s">
        <v>157</v>
      </c>
      <c r="K3" s="15" t="s">
        <v>158</v>
      </c>
      <c r="L3" s="15" t="s">
        <v>159</v>
      </c>
      <c r="M3" s="15" t="s">
        <v>160</v>
      </c>
    </row>
    <row r="4" spans="1:13" x14ac:dyDescent="0.25">
      <c r="A4" s="15" t="s">
        <v>19</v>
      </c>
      <c r="G4" s="15">
        <v>550</v>
      </c>
      <c r="I4" s="15">
        <v>550</v>
      </c>
    </row>
    <row r="5" spans="1:13" x14ac:dyDescent="0.25">
      <c r="A5" s="15" t="s">
        <v>17</v>
      </c>
      <c r="D5" s="15">
        <v>1250</v>
      </c>
      <c r="J5" s="15">
        <v>1250</v>
      </c>
      <c r="L5" s="15">
        <v>1250</v>
      </c>
    </row>
    <row r="6" spans="1:13" x14ac:dyDescent="0.25">
      <c r="A6" s="15" t="s">
        <v>15</v>
      </c>
      <c r="B6" s="15">
        <v>940</v>
      </c>
      <c r="D6" s="15">
        <v>2020</v>
      </c>
      <c r="F6" s="15">
        <v>2480</v>
      </c>
      <c r="I6" s="15">
        <v>1917</v>
      </c>
      <c r="J6" s="15">
        <v>1638</v>
      </c>
      <c r="M6" s="15">
        <v>640.00000000000011</v>
      </c>
    </row>
    <row r="7" spans="1:13" x14ac:dyDescent="0.25">
      <c r="A7" s="15" t="s">
        <v>65</v>
      </c>
      <c r="G7" s="15">
        <v>300</v>
      </c>
    </row>
    <row r="8" spans="1:13" x14ac:dyDescent="0.25">
      <c r="A8" s="15" t="s">
        <v>108</v>
      </c>
      <c r="D8" s="15">
        <v>6200</v>
      </c>
    </row>
    <row r="9" spans="1:13" x14ac:dyDescent="0.25">
      <c r="A9" s="15" t="s">
        <v>106</v>
      </c>
      <c r="C9" s="15">
        <v>900</v>
      </c>
      <c r="D9" s="15">
        <v>900</v>
      </c>
    </row>
    <row r="10" spans="1:13" x14ac:dyDescent="0.25">
      <c r="A10" s="15" t="s">
        <v>66</v>
      </c>
      <c r="D10" s="15">
        <v>300</v>
      </c>
    </row>
    <row r="11" spans="1:13" x14ac:dyDescent="0.25">
      <c r="A11" s="15" t="s">
        <v>105</v>
      </c>
      <c r="I11" s="15">
        <v>2325</v>
      </c>
    </row>
    <row r="12" spans="1:13" x14ac:dyDescent="0.25">
      <c r="A12" s="15" t="s">
        <v>276</v>
      </c>
    </row>
    <row r="13" spans="1:13" x14ac:dyDescent="0.25">
      <c r="A13" s="15" t="s">
        <v>62</v>
      </c>
    </row>
    <row r="14" spans="1:13" x14ac:dyDescent="0.25">
      <c r="A14" s="15" t="s">
        <v>64</v>
      </c>
    </row>
    <row r="15" spans="1:13" x14ac:dyDescent="0.25">
      <c r="A15" s="15" t="s">
        <v>76</v>
      </c>
    </row>
    <row r="16" spans="1:13" x14ac:dyDescent="0.25">
      <c r="A16" s="15" t="s">
        <v>67</v>
      </c>
      <c r="J16" s="15">
        <v>1980</v>
      </c>
    </row>
    <row r="17" spans="1:12" x14ac:dyDescent="0.25">
      <c r="A17" s="15" t="s">
        <v>78</v>
      </c>
      <c r="F17" s="15">
        <v>11050</v>
      </c>
    </row>
    <row r="18" spans="1:12" x14ac:dyDescent="0.25">
      <c r="A18" s="15" t="s">
        <v>79</v>
      </c>
      <c r="F18" s="15">
        <v>780</v>
      </c>
    </row>
    <row r="19" spans="1:12" x14ac:dyDescent="0.25">
      <c r="A19" s="15" t="s">
        <v>80</v>
      </c>
      <c r="L19" s="15">
        <v>1320</v>
      </c>
    </row>
    <row r="20" spans="1:12" x14ac:dyDescent="0.25">
      <c r="A20" s="15" t="s">
        <v>83</v>
      </c>
    </row>
    <row r="21" spans="1:12" x14ac:dyDescent="0.25">
      <c r="A21" s="15" t="s">
        <v>84</v>
      </c>
    </row>
    <row r="22" spans="1:12" x14ac:dyDescent="0.25">
      <c r="A22" s="15" t="s">
        <v>85</v>
      </c>
      <c r="H22" s="15">
        <v>270</v>
      </c>
    </row>
    <row r="23" spans="1:12" x14ac:dyDescent="0.25">
      <c r="A23" s="15" t="s">
        <v>87</v>
      </c>
    </row>
    <row r="24" spans="1:12" x14ac:dyDescent="0.25">
      <c r="A24" s="15" t="s">
        <v>81</v>
      </c>
      <c r="L24" s="15">
        <v>1740</v>
      </c>
    </row>
    <row r="25" spans="1:12" x14ac:dyDescent="0.25">
      <c r="A25" s="15" t="s">
        <v>86</v>
      </c>
    </row>
    <row r="26" spans="1:12" x14ac:dyDescent="0.25">
      <c r="A26" s="15" t="s">
        <v>56</v>
      </c>
      <c r="C26" s="15">
        <v>160</v>
      </c>
    </row>
    <row r="27" spans="1:12" x14ac:dyDescent="0.25">
      <c r="A27" s="15" t="s">
        <v>82</v>
      </c>
    </row>
    <row r="28" spans="1:12" x14ac:dyDescent="0.25">
      <c r="A28" s="15" t="s">
        <v>72</v>
      </c>
    </row>
    <row r="29" spans="1:12" x14ac:dyDescent="0.25">
      <c r="A29" s="15" t="s">
        <v>70</v>
      </c>
    </row>
    <row r="30" spans="1:12" x14ac:dyDescent="0.25">
      <c r="A30" s="15" t="s">
        <v>91</v>
      </c>
    </row>
    <row r="31" spans="1:12" x14ac:dyDescent="0.25">
      <c r="A31" s="15" t="s">
        <v>77</v>
      </c>
    </row>
    <row r="32" spans="1:12" x14ac:dyDescent="0.25">
      <c r="A32" s="15" t="s">
        <v>90</v>
      </c>
    </row>
    <row r="33" spans="1:1" x14ac:dyDescent="0.25">
      <c r="A33" s="15" t="s">
        <v>69</v>
      </c>
    </row>
    <row r="34" spans="1:1" x14ac:dyDescent="0.25">
      <c r="A34" s="15" t="s">
        <v>107</v>
      </c>
    </row>
    <row r="35" spans="1:1" x14ac:dyDescent="0.25">
      <c r="A35" s="15" t="s">
        <v>73</v>
      </c>
    </row>
    <row r="36" spans="1:1" x14ac:dyDescent="0.25">
      <c r="A36" s="15" t="s">
        <v>60</v>
      </c>
    </row>
    <row r="37" spans="1:1" x14ac:dyDescent="0.25">
      <c r="A37" s="15" t="s">
        <v>59</v>
      </c>
    </row>
    <row r="38" spans="1:1" x14ac:dyDescent="0.25">
      <c r="A38" s="15" t="s">
        <v>104</v>
      </c>
    </row>
    <row r="39" spans="1:1" x14ac:dyDescent="0.25">
      <c r="A39" s="15" t="s">
        <v>88</v>
      </c>
    </row>
    <row r="40" spans="1:1" x14ac:dyDescent="0.25">
      <c r="A40" s="15" t="s">
        <v>89</v>
      </c>
    </row>
    <row r="41" spans="1:1" x14ac:dyDescent="0.25">
      <c r="A41" s="15" t="s">
        <v>97</v>
      </c>
    </row>
    <row r="42" spans="1:1" x14ac:dyDescent="0.25">
      <c r="A42" s="15" t="s">
        <v>102</v>
      </c>
    </row>
    <row r="43" spans="1:1" x14ac:dyDescent="0.25">
      <c r="A43" s="15" t="s">
        <v>93</v>
      </c>
    </row>
    <row r="44" spans="1:1" x14ac:dyDescent="0.25">
      <c r="A44" s="15" t="s">
        <v>68</v>
      </c>
    </row>
    <row r="45" spans="1:1" x14ac:dyDescent="0.25">
      <c r="A45" s="15" t="s">
        <v>109</v>
      </c>
    </row>
    <row r="46" spans="1:1" x14ac:dyDescent="0.25">
      <c r="A46" s="15" t="s">
        <v>96</v>
      </c>
    </row>
    <row r="47" spans="1:1" x14ac:dyDescent="0.25">
      <c r="A47" s="15" t="s">
        <v>110</v>
      </c>
    </row>
    <row r="48" spans="1:1" x14ac:dyDescent="0.25">
      <c r="A48" s="15" t="s">
        <v>92</v>
      </c>
    </row>
    <row r="49" spans="1:10" x14ac:dyDescent="0.25">
      <c r="A49" s="15" t="s">
        <v>239</v>
      </c>
    </row>
    <row r="50" spans="1:10" x14ac:dyDescent="0.25">
      <c r="A50" s="15" t="s">
        <v>240</v>
      </c>
    </row>
    <row r="51" spans="1:10" x14ac:dyDescent="0.25">
      <c r="A51" s="15" t="s">
        <v>241</v>
      </c>
    </row>
    <row r="52" spans="1:10" x14ac:dyDescent="0.25">
      <c r="A52" s="15" t="s">
        <v>243</v>
      </c>
    </row>
    <row r="53" spans="1:10" x14ac:dyDescent="0.25">
      <c r="A53" s="15" t="s">
        <v>242</v>
      </c>
    </row>
    <row r="54" spans="1:10" x14ac:dyDescent="0.25">
      <c r="A54" s="15" t="s">
        <v>246</v>
      </c>
    </row>
    <row r="55" spans="1:10" x14ac:dyDescent="0.25">
      <c r="A55" s="15" t="s">
        <v>245</v>
      </c>
    </row>
    <row r="56" spans="1:10" x14ac:dyDescent="0.25">
      <c r="A56" s="15" t="s">
        <v>244</v>
      </c>
    </row>
    <row r="57" spans="1:10" x14ac:dyDescent="0.25">
      <c r="A57" s="15" t="s">
        <v>247</v>
      </c>
    </row>
    <row r="58" spans="1:10" x14ac:dyDescent="0.25">
      <c r="A58" s="15" t="s">
        <v>251</v>
      </c>
    </row>
    <row r="59" spans="1:10" x14ac:dyDescent="0.25">
      <c r="A59" s="15" t="s">
        <v>252</v>
      </c>
    </row>
    <row r="60" spans="1:10" x14ac:dyDescent="0.25">
      <c r="A60" s="15" t="s">
        <v>253</v>
      </c>
    </row>
    <row r="61" spans="1:10" x14ac:dyDescent="0.25">
      <c r="A61" s="15" t="s">
        <v>250</v>
      </c>
      <c r="J61" s="15">
        <v>1600</v>
      </c>
    </row>
    <row r="62" spans="1:10" x14ac:dyDescent="0.25">
      <c r="A62" s="15" t="s">
        <v>249</v>
      </c>
    </row>
    <row r="63" spans="1:10" x14ac:dyDescent="0.25">
      <c r="A63" s="15" t="s">
        <v>248</v>
      </c>
    </row>
    <row r="64" spans="1:10" x14ac:dyDescent="0.25">
      <c r="A64" s="15" t="s">
        <v>254</v>
      </c>
    </row>
    <row r="65" spans="1:1" x14ac:dyDescent="0.25">
      <c r="A65" s="15" t="s">
        <v>255</v>
      </c>
    </row>
    <row r="66" spans="1:1" x14ac:dyDescent="0.25">
      <c r="A66" s="15" t="s">
        <v>256</v>
      </c>
    </row>
    <row r="67" spans="1:1" x14ac:dyDescent="0.25">
      <c r="A67" s="15" t="s">
        <v>257</v>
      </c>
    </row>
    <row r="68" spans="1:1" x14ac:dyDescent="0.25">
      <c r="A68" s="15" t="s">
        <v>258</v>
      </c>
    </row>
    <row r="69" spans="1:1" x14ac:dyDescent="0.25">
      <c r="A69" s="15" t="s">
        <v>260</v>
      </c>
    </row>
    <row r="70" spans="1:1" x14ac:dyDescent="0.25">
      <c r="A70" s="15" t="s">
        <v>259</v>
      </c>
    </row>
    <row r="71" spans="1:1" x14ac:dyDescent="0.25">
      <c r="A71" s="15" t="s">
        <v>264</v>
      </c>
    </row>
    <row r="72" spans="1:1" x14ac:dyDescent="0.25">
      <c r="A72" s="15" t="s">
        <v>266</v>
      </c>
    </row>
    <row r="73" spans="1:1" x14ac:dyDescent="0.25">
      <c r="A73" s="15" t="s">
        <v>267</v>
      </c>
    </row>
    <row r="74" spans="1:1" x14ac:dyDescent="0.25">
      <c r="A74" s="15" t="s">
        <v>268</v>
      </c>
    </row>
    <row r="75" spans="1:1" x14ac:dyDescent="0.25">
      <c r="A75" s="15" t="s">
        <v>269</v>
      </c>
    </row>
    <row r="76" spans="1:1" x14ac:dyDescent="0.25">
      <c r="A76" s="15" t="s">
        <v>270</v>
      </c>
    </row>
    <row r="77" spans="1:1" x14ac:dyDescent="0.25">
      <c r="A77" s="15" t="s">
        <v>271</v>
      </c>
    </row>
    <row r="78" spans="1:1" x14ac:dyDescent="0.25">
      <c r="A78" s="15" t="s">
        <v>273</v>
      </c>
    </row>
    <row r="79" spans="1:1" x14ac:dyDescent="0.25">
      <c r="A79" s="15" t="s">
        <v>272</v>
      </c>
    </row>
    <row r="80" spans="1:1" x14ac:dyDescent="0.25">
      <c r="A80" s="15" t="s">
        <v>275</v>
      </c>
    </row>
    <row r="81" spans="1:13" x14ac:dyDescent="0.25">
      <c r="A81" s="15" t="s">
        <v>274</v>
      </c>
    </row>
    <row r="82" spans="1:13" x14ac:dyDescent="0.25">
      <c r="A82" s="15" t="s">
        <v>277</v>
      </c>
    </row>
    <row r="83" spans="1:13" x14ac:dyDescent="0.25">
      <c r="A83" s="15" t="s">
        <v>123</v>
      </c>
      <c r="B83" s="15">
        <v>940</v>
      </c>
      <c r="C83" s="15">
        <v>1060</v>
      </c>
      <c r="D83" s="15">
        <v>10670</v>
      </c>
      <c r="F83" s="15">
        <v>14310</v>
      </c>
      <c r="G83" s="15">
        <v>850</v>
      </c>
      <c r="H83" s="15">
        <v>270</v>
      </c>
      <c r="I83" s="15">
        <v>4792</v>
      </c>
      <c r="J83" s="15">
        <v>6468</v>
      </c>
      <c r="L83" s="15">
        <v>4310</v>
      </c>
      <c r="M83" s="15">
        <v>640.00000000000011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A478-AC12-49D4-B693-E15412C3C9B0}">
  <sheetPr>
    <tabColor rgb="FFFFFF00"/>
  </sheetPr>
  <dimension ref="A3:M15"/>
  <sheetViews>
    <sheetView workbookViewId="0">
      <selection activeCell="O14" sqref="O14"/>
    </sheetView>
  </sheetViews>
  <sheetFormatPr defaultRowHeight="15" x14ac:dyDescent="0.25"/>
  <cols>
    <col min="1" max="1" width="10.7109375" bestFit="1" customWidth="1"/>
    <col min="2" max="2" width="13.7109375" bestFit="1" customWidth="1"/>
    <col min="3" max="4" width="14.140625" bestFit="1" customWidth="1"/>
    <col min="5" max="5" width="13.85546875" bestFit="1" customWidth="1"/>
    <col min="6" max="6" width="14.42578125" bestFit="1" customWidth="1"/>
    <col min="7" max="7" width="13.85546875" bestFit="1" customWidth="1"/>
    <col min="8" max="8" width="13.28515625" bestFit="1" customWidth="1"/>
    <col min="9" max="10" width="14.140625" bestFit="1" customWidth="1"/>
    <col min="11" max="11" width="13.85546875" bestFit="1" customWidth="1"/>
    <col min="12" max="12" width="14.140625" bestFit="1" customWidth="1"/>
    <col min="13" max="13" width="14.28515625" bestFit="1" customWidth="1"/>
    <col min="14" max="25" width="13.7109375" bestFit="1" customWidth="1"/>
  </cols>
  <sheetData>
    <row r="3" spans="1:13" x14ac:dyDescent="0.25">
      <c r="A3" s="8" t="s">
        <v>30</v>
      </c>
      <c r="B3" t="s">
        <v>213</v>
      </c>
      <c r="C3" t="s">
        <v>214</v>
      </c>
      <c r="D3" t="s">
        <v>215</v>
      </c>
      <c r="E3" t="s">
        <v>216</v>
      </c>
      <c r="F3" t="s">
        <v>217</v>
      </c>
      <c r="G3" t="s">
        <v>218</v>
      </c>
      <c r="H3" t="s">
        <v>219</v>
      </c>
      <c r="I3" t="s">
        <v>220</v>
      </c>
      <c r="J3" t="s">
        <v>221</v>
      </c>
      <c r="K3" t="s">
        <v>222</v>
      </c>
      <c r="L3" t="s">
        <v>223</v>
      </c>
      <c r="M3" t="s">
        <v>224</v>
      </c>
    </row>
    <row r="4" spans="1:13" x14ac:dyDescent="0.25">
      <c r="A4" t="s">
        <v>61</v>
      </c>
      <c r="B4">
        <v>1</v>
      </c>
      <c r="D4">
        <v>5</v>
      </c>
      <c r="E4">
        <v>4</v>
      </c>
      <c r="G4">
        <v>2</v>
      </c>
      <c r="H4">
        <v>6</v>
      </c>
      <c r="I4">
        <v>5</v>
      </c>
      <c r="J4">
        <v>4</v>
      </c>
      <c r="K4">
        <v>1</v>
      </c>
      <c r="L4">
        <v>1</v>
      </c>
      <c r="M4">
        <v>1</v>
      </c>
    </row>
    <row r="5" spans="1:13" x14ac:dyDescent="0.25">
      <c r="A5" t="s">
        <v>57</v>
      </c>
      <c r="B5">
        <v>4</v>
      </c>
      <c r="C5">
        <v>6</v>
      </c>
      <c r="D5">
        <v>5</v>
      </c>
      <c r="E5">
        <v>2</v>
      </c>
      <c r="F5">
        <v>8</v>
      </c>
      <c r="G5">
        <v>3</v>
      </c>
      <c r="H5">
        <v>13</v>
      </c>
      <c r="I5">
        <v>8</v>
      </c>
      <c r="J5">
        <v>6</v>
      </c>
      <c r="K5">
        <v>3</v>
      </c>
      <c r="M5">
        <v>1</v>
      </c>
    </row>
    <row r="6" spans="1:13" x14ac:dyDescent="0.25">
      <c r="A6" t="s">
        <v>276</v>
      </c>
    </row>
    <row r="7" spans="1:13" x14ac:dyDescent="0.25">
      <c r="A7" t="s">
        <v>74</v>
      </c>
    </row>
    <row r="8" spans="1:13" x14ac:dyDescent="0.25">
      <c r="A8" t="s">
        <v>123</v>
      </c>
      <c r="B8">
        <v>5</v>
      </c>
      <c r="C8">
        <v>6</v>
      </c>
      <c r="D8">
        <v>10</v>
      </c>
      <c r="E8">
        <v>6</v>
      </c>
      <c r="F8">
        <v>8</v>
      </c>
      <c r="G8">
        <v>5</v>
      </c>
      <c r="H8">
        <v>19</v>
      </c>
      <c r="I8">
        <v>13</v>
      </c>
      <c r="J8">
        <v>10</v>
      </c>
      <c r="K8">
        <v>4</v>
      </c>
      <c r="L8">
        <v>1</v>
      </c>
      <c r="M8">
        <v>2</v>
      </c>
    </row>
    <row r="10" spans="1:13" x14ac:dyDescent="0.25">
      <c r="A10" s="8" t="s">
        <v>30</v>
      </c>
      <c r="B10" t="s">
        <v>225</v>
      </c>
      <c r="C10" t="s">
        <v>226</v>
      </c>
      <c r="D10" t="s">
        <v>232</v>
      </c>
      <c r="E10" t="s">
        <v>233</v>
      </c>
      <c r="F10" t="s">
        <v>234</v>
      </c>
      <c r="G10" t="s">
        <v>235</v>
      </c>
      <c r="H10" t="s">
        <v>236</v>
      </c>
      <c r="I10" t="s">
        <v>231</v>
      </c>
      <c r="J10" t="s">
        <v>230</v>
      </c>
      <c r="K10" t="s">
        <v>229</v>
      </c>
      <c r="L10" t="s">
        <v>228</v>
      </c>
      <c r="M10" t="s">
        <v>227</v>
      </c>
    </row>
    <row r="11" spans="1:13" x14ac:dyDescent="0.25">
      <c r="A11" t="s">
        <v>61</v>
      </c>
      <c r="B11" s="15">
        <v>9450</v>
      </c>
      <c r="C11" s="15"/>
      <c r="D11" s="15">
        <v>4380</v>
      </c>
      <c r="E11" s="15">
        <v>15147.619999999999</v>
      </c>
      <c r="F11" s="15"/>
      <c r="G11" s="15">
        <v>16001.23</v>
      </c>
      <c r="H11" s="15">
        <v>18190</v>
      </c>
      <c r="I11" s="15">
        <v>18000</v>
      </c>
      <c r="J11" s="15">
        <v>5500</v>
      </c>
      <c r="K11" s="15">
        <v>60000</v>
      </c>
      <c r="L11" s="15">
        <v>15000</v>
      </c>
      <c r="M11" s="15">
        <v>260</v>
      </c>
    </row>
    <row r="12" spans="1:13" x14ac:dyDescent="0.25">
      <c r="A12" t="s">
        <v>57</v>
      </c>
      <c r="B12" s="15">
        <v>7602.5</v>
      </c>
      <c r="C12" s="15">
        <v>6375</v>
      </c>
      <c r="D12" s="15">
        <v>8980.5</v>
      </c>
      <c r="E12" s="15">
        <v>1300</v>
      </c>
      <c r="F12" s="15">
        <v>15700</v>
      </c>
      <c r="G12" s="15">
        <v>2462</v>
      </c>
      <c r="H12" s="15">
        <v>18475</v>
      </c>
      <c r="I12" s="15">
        <v>10300</v>
      </c>
      <c r="J12" s="15">
        <v>5562.5</v>
      </c>
      <c r="K12" s="15">
        <v>2712.5</v>
      </c>
      <c r="L12" s="15"/>
      <c r="M12" s="15">
        <v>280</v>
      </c>
    </row>
    <row r="13" spans="1:13" x14ac:dyDescent="0.25">
      <c r="A13" t="s">
        <v>276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x14ac:dyDescent="0.25">
      <c r="A14" t="s">
        <v>74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x14ac:dyDescent="0.25">
      <c r="A15" s="15" t="s">
        <v>123</v>
      </c>
      <c r="B15" s="15">
        <v>17052.5</v>
      </c>
      <c r="C15" s="15">
        <v>6375</v>
      </c>
      <c r="D15" s="15">
        <v>13360.5</v>
      </c>
      <c r="E15" s="15">
        <v>16447.62</v>
      </c>
      <c r="F15" s="15">
        <v>15700</v>
      </c>
      <c r="G15" s="15">
        <v>18463.23</v>
      </c>
      <c r="H15" s="15">
        <v>36665</v>
      </c>
      <c r="I15" s="15">
        <v>28300</v>
      </c>
      <c r="J15" s="15">
        <v>11062.5</v>
      </c>
      <c r="K15" s="15">
        <v>62712.5</v>
      </c>
      <c r="L15" s="15">
        <v>15000</v>
      </c>
      <c r="M15" s="15">
        <v>540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AFF5-BBB7-4EC0-89D8-1BC6347C453B}">
  <sheetPr>
    <tabColor rgb="FFFFFF00"/>
  </sheetPr>
  <dimension ref="A1:N83"/>
  <sheetViews>
    <sheetView workbookViewId="0">
      <pane xSplit="1" ySplit="3" topLeftCell="E70" activePane="bottomRight" state="frozen"/>
      <selection pane="topRight" activeCell="B1" sqref="B1"/>
      <selection pane="bottomLeft" activeCell="A4" sqref="A4"/>
      <selection pane="bottomRight" activeCell="N84" sqref="N84"/>
    </sheetView>
  </sheetViews>
  <sheetFormatPr defaultRowHeight="15" x14ac:dyDescent="0.25"/>
  <cols>
    <col min="1" max="1" width="41" customWidth="1"/>
    <col min="2" max="2" width="13.7109375" bestFit="1" customWidth="1"/>
    <col min="3" max="4" width="14.140625" bestFit="1" customWidth="1"/>
    <col min="5" max="5" width="13.85546875" bestFit="1" customWidth="1"/>
    <col min="6" max="6" width="14.42578125" bestFit="1" customWidth="1"/>
    <col min="7" max="7" width="13.85546875" bestFit="1" customWidth="1"/>
    <col min="8" max="8" width="13.28515625" bestFit="1" customWidth="1"/>
    <col min="9" max="10" width="14.140625" bestFit="1" customWidth="1"/>
    <col min="11" max="11" width="13.85546875" bestFit="1" customWidth="1"/>
    <col min="12" max="12" width="14.140625" bestFit="1" customWidth="1"/>
    <col min="13" max="13" width="14.28515625" bestFit="1" customWidth="1"/>
    <col min="14" max="14" width="15.5703125" bestFit="1" customWidth="1"/>
    <col min="15" max="16" width="14.42578125" bestFit="1" customWidth="1"/>
  </cols>
  <sheetData>
    <row r="1" spans="1:13" x14ac:dyDescent="0.25">
      <c r="A1" s="14" t="s">
        <v>30</v>
      </c>
      <c r="B1" s="15" t="s">
        <v>136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25">
      <c r="A3" s="14" t="s">
        <v>0</v>
      </c>
      <c r="B3" s="15" t="s">
        <v>225</v>
      </c>
      <c r="C3" s="15" t="s">
        <v>226</v>
      </c>
      <c r="D3" s="15" t="s">
        <v>232</v>
      </c>
      <c r="E3" s="15" t="s">
        <v>233</v>
      </c>
      <c r="F3" s="15" t="s">
        <v>234</v>
      </c>
      <c r="G3" s="15" t="s">
        <v>235</v>
      </c>
      <c r="H3" s="15" t="s">
        <v>236</v>
      </c>
      <c r="I3" s="15" t="s">
        <v>231</v>
      </c>
      <c r="J3" s="15" t="s">
        <v>230</v>
      </c>
      <c r="K3" s="15" t="s">
        <v>229</v>
      </c>
      <c r="L3" s="15" t="s">
        <v>228</v>
      </c>
      <c r="M3" s="15" t="s">
        <v>227</v>
      </c>
    </row>
    <row r="4" spans="1:13" x14ac:dyDescent="0.25">
      <c r="A4" s="15" t="s">
        <v>19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3" x14ac:dyDescent="0.25">
      <c r="A5" s="15" t="s">
        <v>17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x14ac:dyDescent="0.25">
      <c r="A6" s="15" t="s">
        <v>15</v>
      </c>
      <c r="B6" s="15"/>
      <c r="C6" s="15"/>
      <c r="D6" s="15"/>
      <c r="E6" s="15"/>
      <c r="F6" s="15"/>
      <c r="G6" s="15"/>
      <c r="H6" s="15">
        <v>150</v>
      </c>
      <c r="I6" s="15"/>
      <c r="J6" s="15"/>
      <c r="K6" s="15"/>
      <c r="L6" s="15"/>
      <c r="M6" s="15"/>
    </row>
    <row r="7" spans="1:13" x14ac:dyDescent="0.25">
      <c r="A7" s="15" t="s">
        <v>65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x14ac:dyDescent="0.25">
      <c r="A8" s="15" t="s">
        <v>108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x14ac:dyDescent="0.25">
      <c r="A9" s="15" t="s">
        <v>106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x14ac:dyDescent="0.25">
      <c r="A10" s="15" t="s">
        <v>66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x14ac:dyDescent="0.25">
      <c r="A11" s="15" t="s">
        <v>105</v>
      </c>
      <c r="B11" s="15">
        <v>2325</v>
      </c>
      <c r="C11" s="15"/>
      <c r="D11" s="15"/>
      <c r="E11" s="15"/>
      <c r="F11" s="15">
        <v>2325</v>
      </c>
      <c r="G11" s="15"/>
      <c r="H11" s="15"/>
      <c r="I11" s="15"/>
      <c r="J11" s="15"/>
      <c r="K11" s="15"/>
      <c r="L11" s="15"/>
      <c r="M11" s="15"/>
    </row>
    <row r="12" spans="1:13" x14ac:dyDescent="0.25">
      <c r="A12" s="15" t="s">
        <v>276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x14ac:dyDescent="0.25">
      <c r="A13" s="15" t="s">
        <v>62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x14ac:dyDescent="0.25">
      <c r="A14" s="15" t="s">
        <v>64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x14ac:dyDescent="0.25">
      <c r="A15" s="15" t="s">
        <v>76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 x14ac:dyDescent="0.25">
      <c r="A16" s="15" t="s">
        <v>67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x14ac:dyDescent="0.25">
      <c r="A17" s="15" t="s">
        <v>78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x14ac:dyDescent="0.25">
      <c r="A18" s="15" t="s">
        <v>79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3" x14ac:dyDescent="0.25">
      <c r="A19" s="15" t="s">
        <v>80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x14ac:dyDescent="0.25">
      <c r="A20" s="15" t="s">
        <v>83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x14ac:dyDescent="0.25">
      <c r="A21" s="15" t="s">
        <v>84</v>
      </c>
      <c r="B21" s="15"/>
      <c r="C21" s="15"/>
      <c r="D21" s="15"/>
      <c r="E21" s="15"/>
      <c r="F21" s="15"/>
      <c r="G21" s="15">
        <v>14921.23</v>
      </c>
      <c r="H21" s="15">
        <v>10000</v>
      </c>
      <c r="I21" s="15">
        <v>10000</v>
      </c>
      <c r="J21" s="15"/>
      <c r="K21" s="15"/>
      <c r="L21" s="15">
        <v>15000</v>
      </c>
      <c r="M21" s="15"/>
    </row>
    <row r="22" spans="1:13" x14ac:dyDescent="0.25">
      <c r="A22" s="15" t="s">
        <v>85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x14ac:dyDescent="0.25">
      <c r="A23" s="15" t="s">
        <v>87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 x14ac:dyDescent="0.25">
      <c r="A24" s="15" t="s">
        <v>81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x14ac:dyDescent="0.25">
      <c r="A25" s="15" t="s">
        <v>86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x14ac:dyDescent="0.25">
      <c r="A26" s="15" t="s">
        <v>56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x14ac:dyDescent="0.25">
      <c r="A27" s="15" t="s">
        <v>82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3" x14ac:dyDescent="0.25">
      <c r="A28" s="15" t="s">
        <v>72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3" x14ac:dyDescent="0.25">
      <c r="A29" s="15" t="s">
        <v>70</v>
      </c>
      <c r="B29" s="15"/>
      <c r="C29" s="15"/>
      <c r="D29" s="15"/>
      <c r="E29" s="15">
        <v>9390</v>
      </c>
      <c r="F29" s="15"/>
      <c r="G29" s="15"/>
      <c r="H29" s="15"/>
      <c r="I29" s="15"/>
      <c r="J29" s="15"/>
      <c r="K29" s="15"/>
      <c r="L29" s="15"/>
      <c r="M29" s="15"/>
    </row>
    <row r="30" spans="1:13" x14ac:dyDescent="0.25">
      <c r="A30" s="15" t="s">
        <v>91</v>
      </c>
      <c r="B30" s="15"/>
      <c r="C30" s="15"/>
      <c r="D30" s="15">
        <v>210</v>
      </c>
      <c r="E30" s="15"/>
      <c r="F30" s="15"/>
      <c r="G30" s="15"/>
      <c r="H30" s="15"/>
      <c r="I30" s="15"/>
      <c r="J30" s="15"/>
      <c r="K30" s="15"/>
      <c r="L30" s="15"/>
      <c r="M30" s="15"/>
    </row>
    <row r="31" spans="1:13" x14ac:dyDescent="0.25">
      <c r="A31" s="15" t="s">
        <v>77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1:13" x14ac:dyDescent="0.25">
      <c r="A32" s="15" t="s">
        <v>90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x14ac:dyDescent="0.25">
      <c r="A33" s="15" t="s">
        <v>69</v>
      </c>
      <c r="B33" s="15"/>
      <c r="C33" s="15"/>
      <c r="D33" s="15"/>
      <c r="E33" s="15">
        <v>2130</v>
      </c>
      <c r="F33" s="15"/>
      <c r="G33" s="15"/>
      <c r="H33" s="15"/>
      <c r="I33" s="15"/>
      <c r="J33" s="15"/>
      <c r="K33" s="15"/>
      <c r="L33" s="15"/>
      <c r="M33" s="15"/>
    </row>
    <row r="34" spans="1:13" x14ac:dyDescent="0.25">
      <c r="A34" s="15" t="s">
        <v>107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x14ac:dyDescent="0.25">
      <c r="A35" s="15" t="s">
        <v>73</v>
      </c>
      <c r="B35" s="15"/>
      <c r="C35" s="15"/>
      <c r="D35" s="15">
        <v>3180</v>
      </c>
      <c r="E35" s="15"/>
      <c r="F35" s="15"/>
      <c r="G35" s="15"/>
      <c r="H35" s="15"/>
      <c r="I35" s="15"/>
      <c r="J35" s="15"/>
      <c r="K35" s="15"/>
      <c r="L35" s="15"/>
      <c r="M35" s="15"/>
    </row>
    <row r="36" spans="1:13" x14ac:dyDescent="0.25">
      <c r="A36" s="15" t="s">
        <v>60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>
        <v>260</v>
      </c>
    </row>
    <row r="37" spans="1:13" x14ac:dyDescent="0.25">
      <c r="A37" s="15" t="s">
        <v>59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>
        <v>280</v>
      </c>
    </row>
    <row r="38" spans="1:13" x14ac:dyDescent="0.25">
      <c r="A38" s="15" t="s">
        <v>104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x14ac:dyDescent="0.25">
      <c r="A39" s="15" t="s">
        <v>88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x14ac:dyDescent="0.25">
      <c r="A40" s="15" t="s">
        <v>89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x14ac:dyDescent="0.25">
      <c r="A41" s="15" t="s">
        <v>97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x14ac:dyDescent="0.25">
      <c r="A42" s="15" t="s">
        <v>102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 x14ac:dyDescent="0.25">
      <c r="A43" s="15" t="s">
        <v>93</v>
      </c>
      <c r="B43" s="15"/>
      <c r="C43" s="15"/>
      <c r="D43" s="15"/>
      <c r="E43" s="15"/>
      <c r="F43" s="15"/>
      <c r="G43" s="15"/>
      <c r="H43" s="15">
        <v>690</v>
      </c>
      <c r="I43" s="15"/>
      <c r="J43" s="15"/>
      <c r="K43" s="15"/>
      <c r="L43" s="15"/>
      <c r="M43" s="15"/>
    </row>
    <row r="44" spans="1:13" x14ac:dyDescent="0.25">
      <c r="A44" s="15" t="s">
        <v>68</v>
      </c>
      <c r="B44" s="15"/>
      <c r="C44" s="15"/>
      <c r="D44" s="15"/>
      <c r="E44" s="15"/>
      <c r="F44" s="15"/>
      <c r="G44" s="15"/>
      <c r="H44" s="15">
        <v>2000</v>
      </c>
      <c r="I44" s="15">
        <v>1000</v>
      </c>
      <c r="J44" s="15">
        <v>1000</v>
      </c>
      <c r="K44" s="15"/>
      <c r="L44" s="15"/>
      <c r="M44" s="15"/>
    </row>
    <row r="45" spans="1:13" x14ac:dyDescent="0.25">
      <c r="A45" s="15" t="s">
        <v>109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x14ac:dyDescent="0.25">
      <c r="A46" s="15" t="s">
        <v>96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x14ac:dyDescent="0.25">
      <c r="A47" s="15" t="s">
        <v>110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x14ac:dyDescent="0.25">
      <c r="A48" s="15" t="s">
        <v>92</v>
      </c>
      <c r="B48" s="15"/>
      <c r="C48" s="15"/>
      <c r="D48" s="15">
        <v>270</v>
      </c>
      <c r="E48" s="15"/>
      <c r="F48" s="15"/>
      <c r="G48" s="15"/>
      <c r="H48" s="15"/>
      <c r="I48" s="15"/>
      <c r="J48" s="15"/>
      <c r="K48" s="15"/>
      <c r="L48" s="15"/>
      <c r="M48" s="15"/>
    </row>
    <row r="49" spans="1:13" x14ac:dyDescent="0.25">
      <c r="A49" s="15" t="s">
        <v>239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x14ac:dyDescent="0.25">
      <c r="A50" s="15" t="s">
        <v>240</v>
      </c>
      <c r="B50" s="15"/>
      <c r="C50" s="15"/>
      <c r="D50" s="15"/>
      <c r="E50" s="15"/>
      <c r="F50" s="15"/>
      <c r="G50" s="15"/>
      <c r="H50" s="15">
        <v>1000</v>
      </c>
      <c r="I50" s="15">
        <v>1000</v>
      </c>
      <c r="J50" s="15">
        <v>1000</v>
      </c>
      <c r="K50" s="15"/>
      <c r="L50" s="15"/>
      <c r="M50" s="15"/>
    </row>
    <row r="51" spans="1:13" x14ac:dyDescent="0.25">
      <c r="A51" s="15" t="s">
        <v>241</v>
      </c>
      <c r="B51" s="15">
        <v>9450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x14ac:dyDescent="0.25">
      <c r="A52" s="15" t="s">
        <v>243</v>
      </c>
      <c r="B52" s="15">
        <v>1402.5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 x14ac:dyDescent="0.25">
      <c r="A53" s="15" t="s">
        <v>242</v>
      </c>
      <c r="B53" s="15"/>
      <c r="C53" s="15">
        <v>225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x14ac:dyDescent="0.25">
      <c r="A54" s="15" t="s">
        <v>246</v>
      </c>
      <c r="B54" s="15"/>
      <c r="C54" s="15">
        <v>1212.5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 x14ac:dyDescent="0.25">
      <c r="A55" s="15" t="s">
        <v>245</v>
      </c>
      <c r="B55" s="15"/>
      <c r="C55" s="15"/>
      <c r="D55" s="15"/>
      <c r="E55" s="15">
        <v>500</v>
      </c>
      <c r="F55" s="15"/>
      <c r="G55" s="15"/>
      <c r="H55" s="15">
        <v>500</v>
      </c>
      <c r="I55" s="15"/>
      <c r="J55" s="15"/>
      <c r="K55" s="15"/>
      <c r="L55" s="15"/>
      <c r="M55" s="15"/>
    </row>
    <row r="56" spans="1:13" x14ac:dyDescent="0.25">
      <c r="A56" s="15" t="s">
        <v>244</v>
      </c>
      <c r="B56" s="15"/>
      <c r="C56" s="15">
        <v>1725</v>
      </c>
      <c r="D56" s="15"/>
      <c r="E56" s="15"/>
      <c r="F56" s="15"/>
      <c r="G56" s="15"/>
      <c r="H56" s="15">
        <v>1725</v>
      </c>
      <c r="I56" s="15">
        <v>500</v>
      </c>
      <c r="J56" s="15">
        <v>500</v>
      </c>
      <c r="K56" s="15"/>
      <c r="L56" s="15"/>
      <c r="M56" s="15"/>
    </row>
    <row r="57" spans="1:13" x14ac:dyDescent="0.25">
      <c r="A57" s="15" t="s">
        <v>247</v>
      </c>
      <c r="B57" s="15"/>
      <c r="C57" s="15"/>
      <c r="D57" s="15"/>
      <c r="E57" s="15"/>
      <c r="F57" s="15"/>
      <c r="G57" s="15"/>
      <c r="H57" s="15">
        <v>1000</v>
      </c>
      <c r="I57" s="15">
        <v>1000</v>
      </c>
      <c r="J57" s="15">
        <v>1000</v>
      </c>
      <c r="K57" s="15"/>
      <c r="L57" s="15"/>
      <c r="M57" s="15"/>
    </row>
    <row r="58" spans="1:13" x14ac:dyDescent="0.25">
      <c r="A58" s="15" t="s">
        <v>251</v>
      </c>
      <c r="B58" s="15"/>
      <c r="C58" s="15">
        <v>1400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 x14ac:dyDescent="0.25">
      <c r="A59" s="15" t="s">
        <v>252</v>
      </c>
      <c r="B59" s="15"/>
      <c r="C59" s="15"/>
      <c r="D59" s="15">
        <v>818</v>
      </c>
      <c r="E59" s="15"/>
      <c r="F59" s="15"/>
      <c r="G59" s="15"/>
      <c r="H59" s="15"/>
      <c r="I59" s="15">
        <v>500</v>
      </c>
      <c r="J59" s="15"/>
      <c r="K59" s="15"/>
      <c r="L59" s="15"/>
      <c r="M59" s="15"/>
    </row>
    <row r="60" spans="1:13" x14ac:dyDescent="0.25">
      <c r="A60" s="15" t="s">
        <v>253</v>
      </c>
      <c r="B60" s="15"/>
      <c r="C60" s="15"/>
      <c r="D60" s="15"/>
      <c r="E60" s="15">
        <v>800</v>
      </c>
      <c r="F60" s="15"/>
      <c r="G60" s="15"/>
      <c r="H60" s="15"/>
      <c r="I60" s="15"/>
      <c r="J60" s="15"/>
      <c r="K60" s="15"/>
      <c r="L60" s="15"/>
      <c r="M60" s="15"/>
    </row>
    <row r="61" spans="1:13" x14ac:dyDescent="0.25">
      <c r="A61" s="15" t="s">
        <v>250</v>
      </c>
      <c r="B61" s="15"/>
      <c r="C61" s="15"/>
      <c r="D61" s="15"/>
      <c r="E61" s="15"/>
      <c r="F61" s="15">
        <v>1750</v>
      </c>
      <c r="G61" s="15"/>
      <c r="H61" s="15"/>
      <c r="I61" s="15"/>
      <c r="J61" s="15"/>
      <c r="K61" s="15"/>
      <c r="L61" s="15"/>
      <c r="M61" s="15"/>
    </row>
    <row r="62" spans="1:13" x14ac:dyDescent="0.25">
      <c r="A62" s="15" t="s">
        <v>249</v>
      </c>
      <c r="B62" s="15">
        <v>375</v>
      </c>
      <c r="C62" s="15">
        <v>1312.5</v>
      </c>
      <c r="D62" s="15"/>
      <c r="E62" s="15"/>
      <c r="F62" s="15">
        <v>1312.5</v>
      </c>
      <c r="G62" s="15"/>
      <c r="H62" s="15"/>
      <c r="I62" s="15"/>
      <c r="J62" s="15"/>
      <c r="K62" s="15"/>
      <c r="L62" s="15"/>
      <c r="M62" s="15"/>
    </row>
    <row r="63" spans="1:13" x14ac:dyDescent="0.25">
      <c r="A63" s="15" t="s">
        <v>248</v>
      </c>
      <c r="B63" s="15">
        <v>3500</v>
      </c>
      <c r="C63" s="15"/>
      <c r="D63" s="15"/>
      <c r="E63" s="15"/>
      <c r="F63" s="15">
        <v>3500</v>
      </c>
      <c r="G63" s="15"/>
      <c r="H63" s="15">
        <v>3500</v>
      </c>
      <c r="I63" s="15"/>
      <c r="J63" s="15"/>
      <c r="K63" s="15"/>
      <c r="L63" s="15"/>
      <c r="M63" s="15"/>
    </row>
    <row r="64" spans="1:13" x14ac:dyDescent="0.25">
      <c r="A64" s="15" t="s">
        <v>254</v>
      </c>
      <c r="B64" s="15"/>
      <c r="C64" s="15">
        <v>500</v>
      </c>
      <c r="D64" s="15"/>
      <c r="E64" s="15"/>
      <c r="F64" s="15"/>
      <c r="G64" s="15"/>
      <c r="H64" s="15">
        <v>500</v>
      </c>
      <c r="I64" s="15"/>
      <c r="J64" s="15"/>
      <c r="K64" s="15"/>
      <c r="L64" s="15"/>
      <c r="M64" s="15"/>
    </row>
    <row r="65" spans="1:13" x14ac:dyDescent="0.25">
      <c r="A65" s="15" t="s">
        <v>255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x14ac:dyDescent="0.25">
      <c r="A66" s="15" t="s">
        <v>256</v>
      </c>
      <c r="B66" s="15"/>
      <c r="C66" s="15"/>
      <c r="D66" s="15"/>
      <c r="E66" s="15"/>
      <c r="F66" s="15"/>
      <c r="G66" s="15"/>
      <c r="H66" s="15"/>
      <c r="I66" s="15"/>
      <c r="J66" s="15">
        <v>1000</v>
      </c>
      <c r="K66" s="15"/>
      <c r="L66" s="15"/>
      <c r="M66" s="15"/>
    </row>
    <row r="67" spans="1:13" x14ac:dyDescent="0.25">
      <c r="A67" s="15" t="s">
        <v>257</v>
      </c>
      <c r="B67" s="15"/>
      <c r="C67" s="15"/>
      <c r="D67" s="15">
        <v>1612.5</v>
      </c>
      <c r="E67" s="15"/>
      <c r="F67" s="15">
        <v>1612.5</v>
      </c>
      <c r="G67" s="15"/>
      <c r="H67" s="15"/>
      <c r="I67" s="15"/>
      <c r="J67" s="15">
        <v>1612.5</v>
      </c>
      <c r="K67" s="15">
        <v>1612.5</v>
      </c>
      <c r="L67" s="15"/>
      <c r="M67" s="15"/>
    </row>
    <row r="68" spans="1:13" x14ac:dyDescent="0.25">
      <c r="A68" s="15" t="s">
        <v>258</v>
      </c>
      <c r="B68" s="15"/>
      <c r="C68" s="15"/>
      <c r="D68" s="15">
        <v>1500</v>
      </c>
      <c r="E68" s="15"/>
      <c r="F68" s="15"/>
      <c r="G68" s="15">
        <v>1500</v>
      </c>
      <c r="H68" s="15">
        <v>800</v>
      </c>
      <c r="I68" s="15"/>
      <c r="J68" s="15"/>
      <c r="K68" s="15"/>
      <c r="L68" s="15"/>
      <c r="M68" s="15"/>
    </row>
    <row r="69" spans="1:13" x14ac:dyDescent="0.25">
      <c r="A69" s="15" t="s">
        <v>260</v>
      </c>
      <c r="B69" s="15"/>
      <c r="C69" s="15"/>
      <c r="D69" s="15">
        <v>480</v>
      </c>
      <c r="E69" s="15"/>
      <c r="F69" s="15"/>
      <c r="G69" s="15"/>
      <c r="H69" s="15"/>
      <c r="I69" s="15"/>
      <c r="J69" s="15"/>
      <c r="K69" s="15"/>
      <c r="L69" s="15"/>
      <c r="M69" s="15"/>
    </row>
    <row r="70" spans="1:13" x14ac:dyDescent="0.25">
      <c r="A70" s="15" t="s">
        <v>259</v>
      </c>
      <c r="B70" s="15"/>
      <c r="C70" s="15"/>
      <c r="D70" s="15">
        <v>240</v>
      </c>
      <c r="E70" s="15"/>
      <c r="F70" s="15"/>
      <c r="G70" s="15"/>
      <c r="H70" s="15"/>
      <c r="I70" s="15"/>
      <c r="J70" s="15"/>
      <c r="K70" s="15"/>
      <c r="L70" s="15"/>
      <c r="M70" s="15"/>
    </row>
    <row r="71" spans="1:13" x14ac:dyDescent="0.25">
      <c r="A71" s="15" t="s">
        <v>264</v>
      </c>
      <c r="B71" s="15"/>
      <c r="C71" s="15"/>
      <c r="D71" s="15">
        <v>1850</v>
      </c>
      <c r="E71" s="15"/>
      <c r="F71" s="15">
        <v>1850</v>
      </c>
      <c r="G71" s="15"/>
      <c r="H71" s="15">
        <v>600</v>
      </c>
      <c r="I71" s="15">
        <v>600</v>
      </c>
      <c r="J71" s="15"/>
      <c r="K71" s="15"/>
      <c r="L71" s="15"/>
      <c r="M71" s="15"/>
    </row>
    <row r="72" spans="1:13" x14ac:dyDescent="0.25">
      <c r="A72" s="15" t="s">
        <v>266</v>
      </c>
      <c r="B72" s="15"/>
      <c r="C72" s="15"/>
      <c r="D72" s="15"/>
      <c r="E72" s="15">
        <v>2500</v>
      </c>
      <c r="F72" s="15"/>
      <c r="G72" s="15"/>
      <c r="H72" s="15"/>
      <c r="I72" s="15">
        <v>5000</v>
      </c>
      <c r="J72" s="15">
        <v>2500</v>
      </c>
      <c r="K72" s="15"/>
      <c r="L72" s="15"/>
      <c r="M72" s="15"/>
    </row>
    <row r="73" spans="1:13" x14ac:dyDescent="0.25">
      <c r="A73" s="15" t="s">
        <v>267</v>
      </c>
      <c r="B73" s="15"/>
      <c r="C73" s="15"/>
      <c r="D73" s="15"/>
      <c r="E73" s="15">
        <v>1127.6199999999999</v>
      </c>
      <c r="F73" s="15"/>
      <c r="G73" s="15"/>
      <c r="H73" s="15"/>
      <c r="I73" s="15"/>
      <c r="J73" s="15"/>
      <c r="K73" s="59">
        <v>60000</v>
      </c>
      <c r="L73" s="15"/>
      <c r="M73" s="15"/>
    </row>
    <row r="74" spans="1:13" x14ac:dyDescent="0.25">
      <c r="A74" s="15" t="s">
        <v>268</v>
      </c>
      <c r="B74" s="15"/>
      <c r="C74" s="15"/>
      <c r="D74" s="15"/>
      <c r="E74" s="15"/>
      <c r="F74" s="15"/>
      <c r="G74" s="15"/>
      <c r="H74" s="15">
        <v>3500</v>
      </c>
      <c r="I74" s="15"/>
      <c r="J74" s="15"/>
      <c r="K74" s="15"/>
      <c r="L74" s="15"/>
      <c r="M74" s="15"/>
    </row>
    <row r="75" spans="1:13" x14ac:dyDescent="0.25">
      <c r="A75" s="15" t="s">
        <v>269</v>
      </c>
      <c r="B75" s="15"/>
      <c r="C75" s="15"/>
      <c r="D75" s="15"/>
      <c r="E75" s="15"/>
      <c r="F75" s="15">
        <v>2000</v>
      </c>
      <c r="G75" s="15"/>
      <c r="H75" s="15">
        <v>2000</v>
      </c>
      <c r="I75" s="15">
        <v>500</v>
      </c>
      <c r="J75" s="15">
        <v>500</v>
      </c>
      <c r="K75" s="15"/>
      <c r="L75" s="15"/>
      <c r="M75" s="15"/>
    </row>
    <row r="76" spans="1:13" x14ac:dyDescent="0.25">
      <c r="A76" s="15" t="s">
        <v>270</v>
      </c>
      <c r="B76" s="15"/>
      <c r="C76" s="15"/>
      <c r="D76" s="15"/>
      <c r="E76" s="15"/>
      <c r="F76" s="15">
        <v>1350</v>
      </c>
      <c r="G76" s="15"/>
      <c r="H76" s="15">
        <v>1350</v>
      </c>
      <c r="I76" s="15">
        <v>1350</v>
      </c>
      <c r="J76" s="15">
        <v>1350</v>
      </c>
      <c r="K76" s="15"/>
      <c r="L76" s="15"/>
      <c r="M76" s="15"/>
    </row>
    <row r="77" spans="1:13" x14ac:dyDescent="0.25">
      <c r="A77" s="15" t="s">
        <v>271</v>
      </c>
      <c r="B77" s="15"/>
      <c r="C77" s="15"/>
      <c r="D77" s="15"/>
      <c r="E77" s="15"/>
      <c r="F77" s="15"/>
      <c r="G77" s="15"/>
      <c r="H77" s="15">
        <v>500</v>
      </c>
      <c r="I77" s="15"/>
      <c r="J77" s="15"/>
      <c r="K77" s="15"/>
      <c r="L77" s="15"/>
      <c r="M77" s="15"/>
    </row>
    <row r="78" spans="1:13" x14ac:dyDescent="0.25">
      <c r="A78" s="15" t="s">
        <v>273</v>
      </c>
      <c r="B78" s="15"/>
      <c r="C78" s="15"/>
      <c r="D78" s="15"/>
      <c r="E78" s="15"/>
      <c r="F78" s="15"/>
      <c r="G78" s="15"/>
      <c r="H78" s="15">
        <v>4100</v>
      </c>
      <c r="I78" s="15">
        <v>4100</v>
      </c>
      <c r="J78" s="15">
        <v>600</v>
      </c>
      <c r="K78" s="15">
        <v>600</v>
      </c>
      <c r="L78" s="15"/>
      <c r="M78" s="15"/>
    </row>
    <row r="79" spans="1:13" x14ac:dyDescent="0.25">
      <c r="A79" s="15" t="s">
        <v>272</v>
      </c>
      <c r="B79" s="15"/>
      <c r="C79" s="15"/>
      <c r="D79" s="15"/>
      <c r="E79" s="15"/>
      <c r="F79" s="15"/>
      <c r="G79" s="15">
        <v>500</v>
      </c>
      <c r="H79" s="15">
        <v>500</v>
      </c>
      <c r="I79" s="15">
        <v>500</v>
      </c>
      <c r="J79" s="15"/>
      <c r="K79" s="15"/>
      <c r="L79" s="15"/>
      <c r="M79" s="15"/>
    </row>
    <row r="80" spans="1:13" x14ac:dyDescent="0.25">
      <c r="A80" s="15" t="s">
        <v>275</v>
      </c>
      <c r="B80" s="15"/>
      <c r="C80" s="15"/>
      <c r="D80" s="15"/>
      <c r="E80" s="15"/>
      <c r="F80" s="15"/>
      <c r="G80" s="15">
        <v>1080</v>
      </c>
      <c r="H80" s="15"/>
      <c r="I80" s="15"/>
      <c r="J80" s="15"/>
      <c r="K80" s="15"/>
      <c r="L80" s="15"/>
      <c r="M80" s="15"/>
    </row>
    <row r="81" spans="1:14" x14ac:dyDescent="0.25">
      <c r="A81" s="15" t="s">
        <v>274</v>
      </c>
      <c r="B81" s="15"/>
      <c r="C81" s="15"/>
      <c r="D81" s="15"/>
      <c r="E81" s="15"/>
      <c r="F81" s="15"/>
      <c r="G81" s="15"/>
      <c r="H81" s="15">
        <v>2250</v>
      </c>
      <c r="I81" s="15">
        <v>2250</v>
      </c>
      <c r="J81" s="15"/>
      <c r="K81" s="15">
        <v>500</v>
      </c>
      <c r="L81" s="15"/>
      <c r="M81" s="15"/>
    </row>
    <row r="82" spans="1:14" x14ac:dyDescent="0.25">
      <c r="A82" s="15" t="s">
        <v>277</v>
      </c>
      <c r="B82" s="15"/>
      <c r="C82" s="15"/>
      <c r="D82" s="15">
        <v>3200</v>
      </c>
      <c r="E82" s="15"/>
      <c r="F82" s="15"/>
      <c r="G82" s="15">
        <v>462</v>
      </c>
      <c r="H82" s="15"/>
      <c r="I82" s="15"/>
      <c r="J82" s="15"/>
      <c r="K82" s="15"/>
      <c r="L82" s="15"/>
      <c r="M82" s="15"/>
    </row>
    <row r="83" spans="1:14" x14ac:dyDescent="0.25">
      <c r="A83" s="15" t="s">
        <v>123</v>
      </c>
      <c r="B83" s="15">
        <v>17052.5</v>
      </c>
      <c r="C83" s="15">
        <v>6375</v>
      </c>
      <c r="D83" s="15">
        <v>13360.5</v>
      </c>
      <c r="E83" s="15">
        <v>16447.62</v>
      </c>
      <c r="F83" s="15">
        <v>15700</v>
      </c>
      <c r="G83" s="15">
        <v>18463.23</v>
      </c>
      <c r="H83" s="15">
        <v>36665</v>
      </c>
      <c r="I83" s="15">
        <v>28300</v>
      </c>
      <c r="J83" s="15">
        <v>11062.5</v>
      </c>
      <c r="K83" s="15">
        <v>62712.5</v>
      </c>
      <c r="L83" s="15">
        <v>15000</v>
      </c>
      <c r="M83" s="15">
        <v>540</v>
      </c>
      <c r="N83" s="15">
        <f>SUM(B83:M83)</f>
        <v>241678.84999999998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414B-C2B0-4AF1-A10F-8AF313FBA00F}">
  <sheetPr>
    <tabColor rgb="FF00B0F0"/>
  </sheetPr>
  <dimension ref="A1:N43"/>
  <sheetViews>
    <sheetView topLeftCell="A22" workbookViewId="0">
      <selection activeCell="N36" sqref="N36"/>
    </sheetView>
  </sheetViews>
  <sheetFormatPr defaultColWidth="9" defaultRowHeight="15" x14ac:dyDescent="0.25"/>
  <cols>
    <col min="1" max="1" width="12" bestFit="1" customWidth="1"/>
    <col min="2" max="2" width="12.42578125" bestFit="1" customWidth="1"/>
    <col min="3" max="4" width="12.7109375" bestFit="1" customWidth="1"/>
    <col min="5" max="5" width="12.42578125" bestFit="1" customWidth="1"/>
    <col min="6" max="6" width="13.140625" bestFit="1" customWidth="1"/>
    <col min="7" max="7" width="12.42578125" bestFit="1" customWidth="1"/>
    <col min="8" max="8" width="11.85546875" bestFit="1" customWidth="1"/>
    <col min="9" max="9" width="12.7109375" bestFit="1" customWidth="1"/>
    <col min="10" max="10" width="12.85546875" bestFit="1" customWidth="1"/>
    <col min="11" max="11" width="12.5703125" bestFit="1" customWidth="1"/>
    <col min="12" max="12" width="12.85546875" bestFit="1" customWidth="1"/>
    <col min="13" max="13" width="13" bestFit="1" customWidth="1"/>
    <col min="14" max="15" width="15.42578125" bestFit="1" customWidth="1"/>
    <col min="16" max="16" width="13.5703125" bestFit="1" customWidth="1"/>
  </cols>
  <sheetData>
    <row r="1" spans="1:13" ht="15.75" thickBot="1" x14ac:dyDescent="0.3">
      <c r="A1" s="19" t="s">
        <v>30</v>
      </c>
      <c r="B1" s="19" t="s">
        <v>137</v>
      </c>
      <c r="C1" s="19" t="s">
        <v>138</v>
      </c>
      <c r="D1" s="19" t="s">
        <v>139</v>
      </c>
      <c r="E1" s="19" t="s">
        <v>140</v>
      </c>
      <c r="F1" s="19" t="s">
        <v>141</v>
      </c>
      <c r="G1" s="19" t="s">
        <v>142</v>
      </c>
      <c r="H1" s="19" t="s">
        <v>143</v>
      </c>
      <c r="I1" s="19" t="s">
        <v>144</v>
      </c>
      <c r="J1" s="19" t="s">
        <v>145</v>
      </c>
      <c r="K1" s="19" t="s">
        <v>146</v>
      </c>
      <c r="L1" s="19" t="s">
        <v>147</v>
      </c>
      <c r="M1" s="19" t="s">
        <v>148</v>
      </c>
    </row>
    <row r="2" spans="1:13" ht="15.75" thickBot="1" x14ac:dyDescent="0.3">
      <c r="A2" s="17" t="s">
        <v>61</v>
      </c>
      <c r="B2" s="17"/>
      <c r="C2" s="17"/>
      <c r="D2" s="17">
        <v>2</v>
      </c>
      <c r="E2" s="17"/>
      <c r="F2" s="17">
        <v>2</v>
      </c>
      <c r="G2" s="17"/>
      <c r="H2" s="17">
        <v>1</v>
      </c>
      <c r="I2" s="17"/>
      <c r="J2" s="17">
        <v>1</v>
      </c>
      <c r="K2" s="17"/>
      <c r="L2" s="17">
        <v>2</v>
      </c>
      <c r="M2" s="17"/>
    </row>
    <row r="3" spans="1:13" ht="15.75" thickBot="1" x14ac:dyDescent="0.3">
      <c r="A3" s="17" t="s">
        <v>57</v>
      </c>
      <c r="B3" s="17">
        <v>1</v>
      </c>
      <c r="C3" s="17">
        <v>2</v>
      </c>
      <c r="D3" s="17">
        <v>3</v>
      </c>
      <c r="E3" s="17"/>
      <c r="F3" s="17">
        <v>1</v>
      </c>
      <c r="G3" s="17">
        <v>2</v>
      </c>
      <c r="H3" s="17"/>
      <c r="I3" s="17">
        <v>3</v>
      </c>
      <c r="J3" s="17">
        <v>3</v>
      </c>
      <c r="K3" s="17"/>
      <c r="L3" s="17">
        <v>1</v>
      </c>
      <c r="M3" s="17">
        <v>1</v>
      </c>
    </row>
    <row r="4" spans="1:13" ht="15.75" thickBot="1" x14ac:dyDescent="0.3">
      <c r="A4" s="17" t="s">
        <v>276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5.75" thickBot="1" x14ac:dyDescent="0.3">
      <c r="A5" s="17" t="s">
        <v>74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7.5" customHeight="1" thickBot="1" x14ac:dyDescent="0.3">
      <c r="A6" s="19" t="s">
        <v>123</v>
      </c>
      <c r="B6" s="19">
        <v>1</v>
      </c>
      <c r="C6" s="19">
        <v>2</v>
      </c>
      <c r="D6" s="19">
        <v>5</v>
      </c>
      <c r="E6" s="19"/>
      <c r="F6" s="19">
        <v>3</v>
      </c>
      <c r="G6" s="19">
        <v>2</v>
      </c>
      <c r="H6" s="19">
        <v>1</v>
      </c>
      <c r="I6" s="19">
        <v>3</v>
      </c>
      <c r="J6" s="19">
        <v>4</v>
      </c>
      <c r="K6" s="19"/>
      <c r="L6" s="19">
        <v>3</v>
      </c>
      <c r="M6" s="19">
        <v>1</v>
      </c>
    </row>
    <row r="7" spans="1:13" ht="15.75" thickBot="1" x14ac:dyDescent="0.3">
      <c r="A7" s="63" t="s">
        <v>30</v>
      </c>
      <c r="B7" s="17" t="s">
        <v>111</v>
      </c>
      <c r="C7" s="17" t="s">
        <v>112</v>
      </c>
      <c r="D7" s="17" t="s">
        <v>113</v>
      </c>
      <c r="E7" s="17" t="s">
        <v>114</v>
      </c>
      <c r="F7" s="17" t="s">
        <v>115</v>
      </c>
      <c r="G7" s="17" t="s">
        <v>116</v>
      </c>
      <c r="H7" s="17" t="s">
        <v>117</v>
      </c>
      <c r="I7" s="17" t="s">
        <v>118</v>
      </c>
      <c r="J7" s="17" t="s">
        <v>119</v>
      </c>
      <c r="K7" s="17" t="s">
        <v>120</v>
      </c>
      <c r="L7" s="17" t="s">
        <v>121</v>
      </c>
      <c r="M7" s="17" t="s">
        <v>122</v>
      </c>
    </row>
    <row r="8" spans="1:13" ht="15.75" thickBot="1" x14ac:dyDescent="0.3">
      <c r="A8" s="17" t="s">
        <v>61</v>
      </c>
      <c r="B8" s="17">
        <v>1</v>
      </c>
      <c r="C8" s="17"/>
      <c r="D8" s="17">
        <v>7</v>
      </c>
      <c r="E8" s="17">
        <v>4</v>
      </c>
      <c r="F8" s="17">
        <v>2</v>
      </c>
      <c r="G8" s="17"/>
      <c r="H8" s="17">
        <v>1</v>
      </c>
      <c r="I8" s="17"/>
      <c r="J8" s="17"/>
      <c r="K8" s="17"/>
      <c r="L8" s="17"/>
      <c r="M8" s="17">
        <v>2</v>
      </c>
    </row>
    <row r="9" spans="1:13" ht="15.75" thickBot="1" x14ac:dyDescent="0.3">
      <c r="A9" s="17" t="s">
        <v>57</v>
      </c>
      <c r="B9" s="17">
        <v>1</v>
      </c>
      <c r="C9" s="17">
        <v>1</v>
      </c>
      <c r="D9" s="17">
        <v>1</v>
      </c>
      <c r="E9" s="17">
        <v>3</v>
      </c>
      <c r="F9" s="17">
        <v>2</v>
      </c>
      <c r="G9" s="17">
        <v>5</v>
      </c>
      <c r="H9" s="17">
        <v>3</v>
      </c>
      <c r="I9" s="17">
        <v>5</v>
      </c>
      <c r="J9" s="17">
        <v>2</v>
      </c>
      <c r="K9" s="17">
        <v>1</v>
      </c>
      <c r="L9" s="17">
        <v>6</v>
      </c>
      <c r="M9" s="17">
        <v>2</v>
      </c>
    </row>
    <row r="10" spans="1:13" ht="15.75" thickBot="1" x14ac:dyDescent="0.3">
      <c r="A10" s="17" t="s">
        <v>276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5.75" thickBot="1" x14ac:dyDescent="0.3">
      <c r="A11" s="17" t="s">
        <v>74</v>
      </c>
      <c r="B11" s="17"/>
      <c r="C11" s="17"/>
      <c r="D11" s="17"/>
      <c r="E11" s="17"/>
      <c r="F11" s="17"/>
      <c r="G11" s="17"/>
      <c r="H11" s="17">
        <v>1</v>
      </c>
      <c r="I11" s="17">
        <v>1</v>
      </c>
      <c r="J11" s="17">
        <v>2</v>
      </c>
      <c r="K11" s="17">
        <v>1</v>
      </c>
      <c r="L11" s="17">
        <v>1</v>
      </c>
      <c r="M11" s="17">
        <v>1</v>
      </c>
    </row>
    <row r="12" spans="1:13" ht="7.5" customHeight="1" thickBot="1" x14ac:dyDescent="0.3">
      <c r="A12" s="17" t="s">
        <v>123</v>
      </c>
      <c r="B12" s="17">
        <v>2</v>
      </c>
      <c r="C12" s="17">
        <v>1</v>
      </c>
      <c r="D12" s="17">
        <v>8</v>
      </c>
      <c r="E12" s="17">
        <v>7</v>
      </c>
      <c r="F12" s="17">
        <v>4</v>
      </c>
      <c r="G12" s="17">
        <v>5</v>
      </c>
      <c r="H12" s="17">
        <v>5</v>
      </c>
      <c r="I12" s="17">
        <v>6</v>
      </c>
      <c r="J12" s="17">
        <v>4</v>
      </c>
      <c r="K12" s="17">
        <v>2</v>
      </c>
      <c r="L12" s="17">
        <v>7</v>
      </c>
      <c r="M12" s="17">
        <v>5</v>
      </c>
    </row>
    <row r="13" spans="1:13" ht="15.75" thickBot="1" x14ac:dyDescent="0.3">
      <c r="A13" s="37" t="s">
        <v>30</v>
      </c>
      <c r="B13" s="37" t="s">
        <v>213</v>
      </c>
      <c r="C13" s="37" t="s">
        <v>214</v>
      </c>
      <c r="D13" s="37" t="s">
        <v>215</v>
      </c>
      <c r="E13" s="37" t="s">
        <v>216</v>
      </c>
      <c r="F13" s="37" t="s">
        <v>217</v>
      </c>
      <c r="G13" s="37" t="s">
        <v>218</v>
      </c>
      <c r="H13" s="37" t="s">
        <v>219</v>
      </c>
      <c r="I13" s="37" t="s">
        <v>220</v>
      </c>
      <c r="J13" s="37" t="s">
        <v>221</v>
      </c>
      <c r="K13" s="37" t="s">
        <v>222</v>
      </c>
      <c r="L13" s="37" t="s">
        <v>223</v>
      </c>
      <c r="M13" s="37" t="s">
        <v>224</v>
      </c>
    </row>
    <row r="14" spans="1:13" ht="15.75" thickBot="1" x14ac:dyDescent="0.3">
      <c r="A14" s="17" t="s">
        <v>61</v>
      </c>
      <c r="B14" s="17">
        <v>1</v>
      </c>
      <c r="C14" s="17"/>
      <c r="D14" s="17">
        <v>5</v>
      </c>
      <c r="E14" s="17">
        <v>4</v>
      </c>
      <c r="F14" s="17"/>
      <c r="G14" s="17">
        <v>2</v>
      </c>
      <c r="H14" s="17">
        <v>6</v>
      </c>
      <c r="I14" s="17">
        <v>5</v>
      </c>
      <c r="J14" s="17">
        <v>4</v>
      </c>
      <c r="K14" s="17">
        <v>1</v>
      </c>
      <c r="L14" s="17">
        <v>1</v>
      </c>
      <c r="M14" s="17">
        <v>1</v>
      </c>
    </row>
    <row r="15" spans="1:13" ht="15.75" thickBot="1" x14ac:dyDescent="0.3">
      <c r="A15" s="17" t="s">
        <v>57</v>
      </c>
      <c r="B15" s="17">
        <v>4</v>
      </c>
      <c r="C15" s="17">
        <v>6</v>
      </c>
      <c r="D15" s="17">
        <v>5</v>
      </c>
      <c r="E15" s="17">
        <v>2</v>
      </c>
      <c r="F15" s="17">
        <v>8</v>
      </c>
      <c r="G15" s="17">
        <v>3</v>
      </c>
      <c r="H15" s="17">
        <v>13</v>
      </c>
      <c r="I15" s="17">
        <v>8</v>
      </c>
      <c r="J15" s="17">
        <v>6</v>
      </c>
      <c r="K15" s="17">
        <v>3</v>
      </c>
      <c r="L15" s="17"/>
      <c r="M15" s="17">
        <v>1</v>
      </c>
    </row>
    <row r="16" spans="1:13" ht="15.75" thickBot="1" x14ac:dyDescent="0.3">
      <c r="A16" s="17" t="s">
        <v>276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4" ht="15.75" thickBot="1" x14ac:dyDescent="0.3">
      <c r="A17" s="17" t="s">
        <v>74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4" ht="14.25" customHeight="1" thickBot="1" x14ac:dyDescent="0.3">
      <c r="A18" s="37" t="s">
        <v>123</v>
      </c>
      <c r="B18" s="37">
        <v>5</v>
      </c>
      <c r="C18" s="37">
        <v>6</v>
      </c>
      <c r="D18" s="37">
        <v>10</v>
      </c>
      <c r="E18" s="37">
        <v>6</v>
      </c>
      <c r="F18" s="37">
        <v>8</v>
      </c>
      <c r="G18" s="37">
        <v>5</v>
      </c>
      <c r="H18" s="37">
        <v>19</v>
      </c>
      <c r="I18" s="37">
        <v>13</v>
      </c>
      <c r="J18" s="37">
        <v>10</v>
      </c>
      <c r="K18" s="37">
        <v>4</v>
      </c>
      <c r="L18" s="37">
        <v>1</v>
      </c>
      <c r="M18" s="37">
        <v>2</v>
      </c>
    </row>
    <row r="19" spans="1:14" x14ac:dyDescent="0.25">
      <c r="A19" s="39" t="s">
        <v>161</v>
      </c>
      <c r="B19" s="40">
        <f>+B11-B5</f>
        <v>0</v>
      </c>
      <c r="C19" s="40">
        <f t="shared" ref="C19:M19" si="0">+C11-C5</f>
        <v>0</v>
      </c>
      <c r="D19" s="40">
        <f>+D11-D5</f>
        <v>0</v>
      </c>
      <c r="E19" s="40">
        <f t="shared" si="0"/>
        <v>0</v>
      </c>
      <c r="F19" s="40">
        <f t="shared" si="0"/>
        <v>0</v>
      </c>
      <c r="G19" s="40">
        <f t="shared" si="0"/>
        <v>0</v>
      </c>
      <c r="H19" s="40">
        <f t="shared" si="0"/>
        <v>1</v>
      </c>
      <c r="I19" s="40">
        <f t="shared" si="0"/>
        <v>1</v>
      </c>
      <c r="J19" s="40">
        <f t="shared" si="0"/>
        <v>2</v>
      </c>
      <c r="K19" s="40">
        <f t="shared" si="0"/>
        <v>1</v>
      </c>
      <c r="L19" s="40">
        <f t="shared" si="0"/>
        <v>1</v>
      </c>
      <c r="M19" s="41">
        <f t="shared" si="0"/>
        <v>1</v>
      </c>
    </row>
    <row r="20" spans="1:14" x14ac:dyDescent="0.25">
      <c r="A20" s="42" t="s">
        <v>237</v>
      </c>
      <c r="B20" s="38">
        <f>+B17-B11</f>
        <v>0</v>
      </c>
      <c r="C20" s="38">
        <f t="shared" ref="C20:M20" si="1">+C17-C11</f>
        <v>0</v>
      </c>
      <c r="D20" s="38">
        <f t="shared" si="1"/>
        <v>0</v>
      </c>
      <c r="E20" s="38">
        <f t="shared" si="1"/>
        <v>0</v>
      </c>
      <c r="F20" s="38">
        <f t="shared" si="1"/>
        <v>0</v>
      </c>
      <c r="G20" s="38">
        <f t="shared" si="1"/>
        <v>0</v>
      </c>
      <c r="H20" s="38">
        <f t="shared" si="1"/>
        <v>-1</v>
      </c>
      <c r="I20" s="38">
        <f t="shared" si="1"/>
        <v>-1</v>
      </c>
      <c r="J20" s="38">
        <f t="shared" si="1"/>
        <v>-2</v>
      </c>
      <c r="K20" s="38">
        <f t="shared" si="1"/>
        <v>-1</v>
      </c>
      <c r="L20" s="38">
        <f t="shared" si="1"/>
        <v>-1</v>
      </c>
      <c r="M20" s="43">
        <f t="shared" si="1"/>
        <v>-1</v>
      </c>
    </row>
    <row r="21" spans="1:14" ht="15.75" thickBot="1" x14ac:dyDescent="0.3">
      <c r="A21" s="44" t="s">
        <v>238</v>
      </c>
      <c r="B21" s="45">
        <f>+B17-B5</f>
        <v>0</v>
      </c>
      <c r="C21" s="45">
        <f t="shared" ref="C21:M21" si="2">+C17-C5</f>
        <v>0</v>
      </c>
      <c r="D21" s="45">
        <f t="shared" si="2"/>
        <v>0</v>
      </c>
      <c r="E21" s="45">
        <f t="shared" si="2"/>
        <v>0</v>
      </c>
      <c r="F21" s="45">
        <f t="shared" si="2"/>
        <v>0</v>
      </c>
      <c r="G21" s="45">
        <f t="shared" si="2"/>
        <v>0</v>
      </c>
      <c r="H21" s="45">
        <f t="shared" si="2"/>
        <v>0</v>
      </c>
      <c r="I21" s="45">
        <f t="shared" si="2"/>
        <v>0</v>
      </c>
      <c r="J21" s="45">
        <f t="shared" si="2"/>
        <v>0</v>
      </c>
      <c r="K21" s="45">
        <f t="shared" si="2"/>
        <v>0</v>
      </c>
      <c r="L21" s="45">
        <f t="shared" si="2"/>
        <v>0</v>
      </c>
      <c r="M21" s="46">
        <f t="shared" si="2"/>
        <v>0</v>
      </c>
    </row>
    <row r="22" spans="1:14" ht="27" customHeight="1" thickBot="1" x14ac:dyDescent="0.3"/>
    <row r="23" spans="1:14" ht="15.75" thickBot="1" x14ac:dyDescent="0.3">
      <c r="A23" s="19" t="s">
        <v>30</v>
      </c>
      <c r="B23" s="19" t="s">
        <v>149</v>
      </c>
      <c r="C23" s="19" t="s">
        <v>150</v>
      </c>
      <c r="D23" s="19" t="s">
        <v>151</v>
      </c>
      <c r="E23" s="19" t="s">
        <v>152</v>
      </c>
      <c r="F23" s="19" t="s">
        <v>153</v>
      </c>
      <c r="G23" s="19" t="s">
        <v>154</v>
      </c>
      <c r="H23" s="19" t="s">
        <v>155</v>
      </c>
      <c r="I23" s="19" t="s">
        <v>156</v>
      </c>
      <c r="J23" s="19" t="s">
        <v>157</v>
      </c>
      <c r="K23" s="19" t="s">
        <v>158</v>
      </c>
      <c r="L23" s="19" t="s">
        <v>159</v>
      </c>
      <c r="M23" s="19" t="s">
        <v>160</v>
      </c>
    </row>
    <row r="24" spans="1:14" ht="15.75" thickBot="1" x14ac:dyDescent="0.3">
      <c r="A24" s="18" t="s">
        <v>61</v>
      </c>
      <c r="B24" s="18"/>
      <c r="C24" s="18"/>
      <c r="D24" s="18">
        <v>6500</v>
      </c>
      <c r="E24" s="18"/>
      <c r="F24" s="18">
        <v>11830</v>
      </c>
      <c r="G24" s="18"/>
      <c r="H24" s="18">
        <v>270</v>
      </c>
      <c r="I24" s="18"/>
      <c r="J24" s="18">
        <v>1980</v>
      </c>
      <c r="K24" s="18"/>
      <c r="L24" s="18">
        <v>3060</v>
      </c>
      <c r="M24" s="18"/>
    </row>
    <row r="25" spans="1:14" ht="15.75" thickBot="1" x14ac:dyDescent="0.3">
      <c r="A25" s="18" t="s">
        <v>57</v>
      </c>
      <c r="B25" s="18">
        <v>940</v>
      </c>
      <c r="C25" s="18">
        <v>1060</v>
      </c>
      <c r="D25" s="18">
        <v>4170</v>
      </c>
      <c r="E25" s="18"/>
      <c r="F25" s="18">
        <v>2480</v>
      </c>
      <c r="G25" s="18">
        <v>850</v>
      </c>
      <c r="H25" s="18"/>
      <c r="I25" s="18">
        <v>4792</v>
      </c>
      <c r="J25" s="18">
        <v>4488</v>
      </c>
      <c r="K25" s="18"/>
      <c r="L25" s="18">
        <v>1250</v>
      </c>
      <c r="M25" s="18">
        <v>640.00000000000011</v>
      </c>
    </row>
    <row r="26" spans="1:14" ht="15.75" thickBot="1" x14ac:dyDescent="0.3">
      <c r="A26" s="18" t="s">
        <v>276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4" ht="15.75" thickBot="1" x14ac:dyDescent="0.3">
      <c r="A27" s="18" t="s">
        <v>74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4" ht="20.25" customHeight="1" thickBot="1" x14ac:dyDescent="0.3">
      <c r="A28" s="20" t="s">
        <v>123</v>
      </c>
      <c r="B28" s="20">
        <v>940</v>
      </c>
      <c r="C28" s="20">
        <v>1060</v>
      </c>
      <c r="D28" s="20">
        <v>10670</v>
      </c>
      <c r="E28" s="20"/>
      <c r="F28" s="20">
        <v>14310</v>
      </c>
      <c r="G28" s="20">
        <v>850</v>
      </c>
      <c r="H28" s="20">
        <v>270</v>
      </c>
      <c r="I28" s="20">
        <v>4792</v>
      </c>
      <c r="J28" s="20">
        <v>6468</v>
      </c>
      <c r="K28" s="20"/>
      <c r="L28" s="20">
        <v>4310</v>
      </c>
      <c r="M28" s="20">
        <v>640.00000000000011</v>
      </c>
      <c r="N28" s="15">
        <f>SUM(B28:M28)</f>
        <v>44310</v>
      </c>
    </row>
    <row r="29" spans="1:14" ht="15.75" thickBot="1" x14ac:dyDescent="0.3">
      <c r="A29" s="63" t="s">
        <v>30</v>
      </c>
      <c r="B29" s="17" t="s">
        <v>124</v>
      </c>
      <c r="C29" s="17" t="s">
        <v>125</v>
      </c>
      <c r="D29" s="17" t="s">
        <v>126</v>
      </c>
      <c r="E29" s="17" t="s">
        <v>127</v>
      </c>
      <c r="F29" s="17" t="s">
        <v>128</v>
      </c>
      <c r="G29" s="17" t="s">
        <v>129</v>
      </c>
      <c r="H29" s="17" t="s">
        <v>130</v>
      </c>
      <c r="I29" s="17" t="s">
        <v>131</v>
      </c>
      <c r="J29" s="17" t="s">
        <v>132</v>
      </c>
      <c r="K29" s="17" t="s">
        <v>133</v>
      </c>
      <c r="L29" s="17" t="s">
        <v>134</v>
      </c>
      <c r="M29" s="17" t="s">
        <v>135</v>
      </c>
    </row>
    <row r="30" spans="1:14" ht="15.75" thickBot="1" x14ac:dyDescent="0.3">
      <c r="A30" s="18" t="s">
        <v>61</v>
      </c>
      <c r="B30" s="18">
        <v>3700</v>
      </c>
      <c r="C30" s="18"/>
      <c r="D30" s="18">
        <v>5800</v>
      </c>
      <c r="E30" s="18">
        <v>4650</v>
      </c>
      <c r="F30" s="18">
        <v>8220</v>
      </c>
      <c r="G30" s="18"/>
      <c r="H30" s="18">
        <v>1200</v>
      </c>
      <c r="I30" s="18"/>
      <c r="J30" s="18"/>
      <c r="K30" s="18"/>
      <c r="L30" s="18"/>
      <c r="M30" s="18">
        <v>6864</v>
      </c>
    </row>
    <row r="31" spans="1:14" ht="15.75" thickBot="1" x14ac:dyDescent="0.3">
      <c r="A31" s="18" t="s">
        <v>57</v>
      </c>
      <c r="B31" s="18">
        <v>640</v>
      </c>
      <c r="C31" s="18">
        <v>1160</v>
      </c>
      <c r="D31" s="18">
        <v>560</v>
      </c>
      <c r="E31" s="18">
        <v>3552.37</v>
      </c>
      <c r="F31" s="18">
        <v>1827.5</v>
      </c>
      <c r="G31" s="18">
        <v>4675</v>
      </c>
      <c r="H31" s="18">
        <v>5135</v>
      </c>
      <c r="I31" s="18">
        <v>7075</v>
      </c>
      <c r="J31" s="18">
        <v>2134</v>
      </c>
      <c r="K31" s="18">
        <v>1400</v>
      </c>
      <c r="L31" s="18">
        <v>5500</v>
      </c>
      <c r="M31" s="18">
        <v>1678.25</v>
      </c>
    </row>
    <row r="32" spans="1:14" ht="15.75" thickBot="1" x14ac:dyDescent="0.3">
      <c r="A32" s="18" t="s">
        <v>276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4" ht="15.75" thickBot="1" x14ac:dyDescent="0.3">
      <c r="A33" s="18" t="s">
        <v>74</v>
      </c>
      <c r="B33" s="18"/>
      <c r="C33" s="18"/>
      <c r="D33" s="18"/>
      <c r="E33" s="18"/>
      <c r="F33" s="18"/>
      <c r="G33" s="18"/>
      <c r="H33" s="18">
        <v>1568.58</v>
      </c>
      <c r="I33" s="18">
        <v>5673.56</v>
      </c>
      <c r="J33" s="18">
        <v>10532.689999999999</v>
      </c>
      <c r="K33" s="18">
        <v>2352.88</v>
      </c>
      <c r="L33" s="18">
        <v>2121.5399999999995</v>
      </c>
      <c r="M33" s="18">
        <v>3464.9400000000005</v>
      </c>
    </row>
    <row r="34" spans="1:14" ht="17.25" customHeight="1" thickBot="1" x14ac:dyDescent="0.3">
      <c r="A34" s="18" t="s">
        <v>123</v>
      </c>
      <c r="B34" s="18">
        <v>4340</v>
      </c>
      <c r="C34" s="18">
        <v>1160</v>
      </c>
      <c r="D34" s="18">
        <v>6360</v>
      </c>
      <c r="E34" s="18">
        <v>8202.369999999999</v>
      </c>
      <c r="F34" s="18">
        <v>10047.5</v>
      </c>
      <c r="G34" s="18">
        <v>4675</v>
      </c>
      <c r="H34" s="18">
        <v>7903.58</v>
      </c>
      <c r="I34" s="18">
        <v>12748.560000000001</v>
      </c>
      <c r="J34" s="18">
        <v>12666.689999999999</v>
      </c>
      <c r="K34" s="18">
        <v>3752.88</v>
      </c>
      <c r="L34" s="18">
        <v>7621.5399999999991</v>
      </c>
      <c r="M34" s="18">
        <v>12007.19</v>
      </c>
      <c r="N34" s="15">
        <f>SUM(B34:M34)</f>
        <v>91485.31</v>
      </c>
    </row>
    <row r="35" spans="1:14" ht="15.75" thickBot="1" x14ac:dyDescent="0.3">
      <c r="A35" s="37" t="s">
        <v>30</v>
      </c>
      <c r="B35" s="37" t="s">
        <v>225</v>
      </c>
      <c r="C35" s="37" t="s">
        <v>226</v>
      </c>
      <c r="D35" s="37" t="s">
        <v>232</v>
      </c>
      <c r="E35" s="37" t="s">
        <v>233</v>
      </c>
      <c r="F35" s="37" t="s">
        <v>234</v>
      </c>
      <c r="G35" s="37" t="s">
        <v>235</v>
      </c>
      <c r="H35" s="37" t="s">
        <v>236</v>
      </c>
      <c r="I35" s="37" t="s">
        <v>231</v>
      </c>
      <c r="J35" s="37" t="s">
        <v>230</v>
      </c>
      <c r="K35" s="37" t="s">
        <v>229</v>
      </c>
      <c r="L35" s="37" t="s">
        <v>228</v>
      </c>
      <c r="M35" s="37" t="s">
        <v>227</v>
      </c>
      <c r="N35" s="15"/>
    </row>
    <row r="36" spans="1:14" ht="15.75" thickBot="1" x14ac:dyDescent="0.3">
      <c r="A36" s="18" t="s">
        <v>61</v>
      </c>
      <c r="B36" s="18">
        <v>9450</v>
      </c>
      <c r="C36" s="18"/>
      <c r="D36" s="18">
        <v>4380</v>
      </c>
      <c r="E36" s="18">
        <v>15147.619999999999</v>
      </c>
      <c r="F36" s="18"/>
      <c r="G36" s="18">
        <v>16001.23</v>
      </c>
      <c r="H36" s="18">
        <v>18190</v>
      </c>
      <c r="I36" s="18">
        <v>18000</v>
      </c>
      <c r="J36" s="18">
        <v>5500</v>
      </c>
      <c r="K36" s="18">
        <v>60000</v>
      </c>
      <c r="L36" s="18">
        <v>15000</v>
      </c>
      <c r="M36" s="18">
        <v>260</v>
      </c>
      <c r="N36" s="15"/>
    </row>
    <row r="37" spans="1:14" ht="15.75" thickBot="1" x14ac:dyDescent="0.3">
      <c r="A37" s="18" t="s">
        <v>57</v>
      </c>
      <c r="B37" s="18">
        <v>7602.5</v>
      </c>
      <c r="C37" s="18">
        <v>6375</v>
      </c>
      <c r="D37" s="18">
        <v>8980.5</v>
      </c>
      <c r="E37" s="18">
        <v>1300</v>
      </c>
      <c r="F37" s="18">
        <v>15700</v>
      </c>
      <c r="G37" s="18">
        <v>2462</v>
      </c>
      <c r="H37" s="18">
        <v>18475</v>
      </c>
      <c r="I37" s="18">
        <v>10300</v>
      </c>
      <c r="J37" s="18">
        <v>5562.5</v>
      </c>
      <c r="K37" s="18">
        <v>2712.5</v>
      </c>
      <c r="L37" s="18"/>
      <c r="M37" s="18">
        <v>280</v>
      </c>
      <c r="N37" s="15"/>
    </row>
    <row r="38" spans="1:14" ht="15.75" thickBot="1" x14ac:dyDescent="0.3">
      <c r="A38" s="18" t="s">
        <v>276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5"/>
    </row>
    <row r="39" spans="1:14" ht="15.75" thickBot="1" x14ac:dyDescent="0.3">
      <c r="A39" s="18" t="s">
        <v>74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4" ht="15.75" thickBot="1" x14ac:dyDescent="0.3">
      <c r="A40" s="47" t="s">
        <v>123</v>
      </c>
      <c r="B40" s="47">
        <v>17052.5</v>
      </c>
      <c r="C40" s="47">
        <v>6375</v>
      </c>
      <c r="D40" s="47">
        <v>13360.5</v>
      </c>
      <c r="E40" s="47">
        <v>16447.62</v>
      </c>
      <c r="F40" s="47">
        <v>15700</v>
      </c>
      <c r="G40" s="47">
        <v>18463.23</v>
      </c>
      <c r="H40" s="47">
        <v>36665</v>
      </c>
      <c r="I40" s="47">
        <v>28300</v>
      </c>
      <c r="J40" s="47">
        <v>11062.5</v>
      </c>
      <c r="K40" s="47">
        <v>62712.5</v>
      </c>
      <c r="L40" s="47">
        <v>15000</v>
      </c>
      <c r="M40" s="47">
        <v>540</v>
      </c>
      <c r="N40" s="15">
        <f>SUM(B40:M40)</f>
        <v>241678.84999999998</v>
      </c>
    </row>
    <row r="41" spans="1:14" x14ac:dyDescent="0.25">
      <c r="A41" s="39" t="s">
        <v>161</v>
      </c>
      <c r="B41" s="49">
        <f t="shared" ref="B41:M41" si="3">+B33-B27</f>
        <v>0</v>
      </c>
      <c r="C41" s="49">
        <f t="shared" si="3"/>
        <v>0</v>
      </c>
      <c r="D41" s="49">
        <f t="shared" si="3"/>
        <v>0</v>
      </c>
      <c r="E41" s="49">
        <f t="shared" si="3"/>
        <v>0</v>
      </c>
      <c r="F41" s="49">
        <f t="shared" si="3"/>
        <v>0</v>
      </c>
      <c r="G41" s="49">
        <f t="shared" si="3"/>
        <v>0</v>
      </c>
      <c r="H41" s="49">
        <f t="shared" si="3"/>
        <v>1568.58</v>
      </c>
      <c r="I41" s="49">
        <f t="shared" si="3"/>
        <v>5673.56</v>
      </c>
      <c r="J41" s="49">
        <f t="shared" si="3"/>
        <v>10532.689999999999</v>
      </c>
      <c r="K41" s="49">
        <f t="shared" si="3"/>
        <v>2352.88</v>
      </c>
      <c r="L41" s="49">
        <f t="shared" si="3"/>
        <v>2121.5399999999995</v>
      </c>
      <c r="M41" s="50">
        <f t="shared" si="3"/>
        <v>3464.9400000000005</v>
      </c>
      <c r="N41" s="15">
        <f>SUM(B41:M41)</f>
        <v>25714.190000000002</v>
      </c>
    </row>
    <row r="42" spans="1:14" x14ac:dyDescent="0.25">
      <c r="A42" s="42" t="s">
        <v>237</v>
      </c>
      <c r="B42" s="48">
        <f>+GETPIVOTDATA("Sum of Jan-26",$A$35)-GETPIVOTDATA("Sum of Jan-25",$A$29)</f>
        <v>12712.5</v>
      </c>
      <c r="C42" s="48">
        <f>+GETPIVOTDATA("Sum of Feb-26",$A$35)-GETPIVOTDATA("Sum of Feb-25",$A$29)</f>
        <v>5215</v>
      </c>
      <c r="D42" s="48">
        <f>+GETPIVOTDATA("Sum of Mar-26",$A$35)-GETPIVOTDATA("Sum of Mar-25",$A$29)</f>
        <v>7000.5</v>
      </c>
      <c r="E42" s="48">
        <f>+GETPIVOTDATA("Sum of Apr-26",$A$35)-GETPIVOTDATA("Sum of Apr-25",$A$29)</f>
        <v>8245.25</v>
      </c>
      <c r="F42" s="48">
        <f>+GETPIVOTDATA("Sum of May-26",$A$35)-GETPIVOTDATA("Sum of May-25",$A$29)</f>
        <v>5652.5</v>
      </c>
      <c r="G42" s="48">
        <f>+GETPIVOTDATA("Sum of Jun-26",$A$35)-GETPIVOTDATA("Sum of Jun-25",$A$29)</f>
        <v>13788.23</v>
      </c>
      <c r="H42" s="48">
        <f>+GETPIVOTDATA("Sum of Jul-26",$A$35)-GETPIVOTDATA("Sum of Jul-25",$A$29)</f>
        <v>28761.42</v>
      </c>
      <c r="I42" s="48">
        <f>+GETPIVOTDATA("Sum of Aug-26",$A$35)-GETPIVOTDATA("Sum of Aug-25",$A$29)</f>
        <v>15551.439999999999</v>
      </c>
      <c r="J42" s="48">
        <f>+GETPIVOTDATA("Sum of Sep-26",$A$35)-GETPIVOTDATA("Sum of Sep-25",$A$29)</f>
        <v>-1604.1899999999987</v>
      </c>
      <c r="K42" s="48">
        <f>+GETPIVOTDATA("Sum of Oct-26",$A$35)-GETPIVOTDATA("Sum of Oct-25",$A$29)</f>
        <v>58959.62</v>
      </c>
      <c r="L42" s="48">
        <f>+GETPIVOTDATA("Sum of Nov-26",$A$35)-GETPIVOTDATA("Sum of Nov-25",$A$29)</f>
        <v>7378.4600000000009</v>
      </c>
      <c r="M42" s="51">
        <f>+GETPIVOTDATA("Sum of Dec-26",$A$35)-GETPIVOTDATA("Sum of Dec-25",$A$29)</f>
        <v>-11467.19</v>
      </c>
    </row>
    <row r="43" spans="1:14" ht="15.75" thickBot="1" x14ac:dyDescent="0.3">
      <c r="A43" s="44" t="s">
        <v>238</v>
      </c>
      <c r="B43" s="52">
        <f>+GETPIVOTDATA("Sum of Jan-26",$A$35)-GETPIVOTDATA("Sum of Jan-24",$A$23)</f>
        <v>16112.5</v>
      </c>
      <c r="C43" s="52">
        <f>+GETPIVOTDATA("Sum of Feb-26",$A$35)-GETPIVOTDATA("Sum of Feb-24",$A$23)</f>
        <v>5315</v>
      </c>
      <c r="D43" s="52">
        <f>+GETPIVOTDATA("Sum of Mar-26",$A$35)-GETPIVOTDATA("Sum of Mar-24",$A$23)</f>
        <v>2690.5</v>
      </c>
      <c r="E43" s="52">
        <f>+GETPIVOTDATA("Sum of Apr-26",$A$35)-GETPIVOTDATA("Sum of Apr-24",$A$23)</f>
        <v>16447.62</v>
      </c>
      <c r="F43" s="52">
        <f>+GETPIVOTDATA("Sum of May-26",$A$35)-GETPIVOTDATA("Sum of May-24",$A$23)</f>
        <v>1390</v>
      </c>
      <c r="G43" s="52">
        <f>+GETPIVOTDATA("Sum of Jun-26",$A$35)-GETPIVOTDATA("Sum of Jun-24",$A$23)</f>
        <v>17613.23</v>
      </c>
      <c r="H43" s="52">
        <f>+GETPIVOTDATA("Sum of Jul-26",$A$35)-GETPIVOTDATA("Sum of Jul-24",$A$23)</f>
        <v>36395</v>
      </c>
      <c r="I43" s="52">
        <f>+GETPIVOTDATA("Sum of Aug-26",$A$35)-GETPIVOTDATA("Sum of Aug-24",$A$23)</f>
        <v>23508</v>
      </c>
      <c r="J43" s="52">
        <f>+GETPIVOTDATA("Sum of Sep-26",$A$35)-GETPIVOTDATA("Sum of Sep-24",$A$23)</f>
        <v>4594.5</v>
      </c>
      <c r="K43" s="52">
        <f>+GETPIVOTDATA("Sum of Oct-26",$A$35)-GETPIVOTDATA("Sum of Oct-24",$A$23)</f>
        <v>62712.5</v>
      </c>
      <c r="L43" s="52">
        <f>+GETPIVOTDATA("Sum of Nov-26",$A$35)-GETPIVOTDATA("Sum of Nov-24",$A$23)</f>
        <v>10690</v>
      </c>
      <c r="M43" s="53">
        <f>+GETPIVOTDATA("Sum of Dec-26",$A$35)-GETPIVOTDATA("Sum of Dec-24",$A$23)</f>
        <v>-100.00000000000011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912D-5D5C-425B-82EF-55BFACE59A67}">
  <dimension ref="A1:Z26"/>
  <sheetViews>
    <sheetView workbookViewId="0">
      <selection activeCell="Q23" sqref="Q23"/>
    </sheetView>
  </sheetViews>
  <sheetFormatPr defaultRowHeight="15" x14ac:dyDescent="0.25"/>
  <cols>
    <col min="1" max="1" width="26.7109375" bestFit="1" customWidth="1"/>
    <col min="2" max="2" width="11.7109375" bestFit="1" customWidth="1"/>
    <col min="3" max="6" width="9.28515625" hidden="1" customWidth="1"/>
    <col min="7" max="7" width="9.5703125" hidden="1" customWidth="1"/>
    <col min="8" max="10" width="9.28515625" hidden="1" customWidth="1"/>
    <col min="11" max="11" width="9.42578125" hidden="1" customWidth="1"/>
    <col min="12" max="12" width="9.28515625" hidden="1" customWidth="1"/>
    <col min="13" max="14" width="9.5703125" hidden="1" customWidth="1"/>
    <col min="15" max="18" width="9.28515625" bestFit="1" customWidth="1"/>
    <col min="19" max="19" width="9.5703125" bestFit="1" customWidth="1"/>
    <col min="20" max="22" width="9.28515625" bestFit="1" customWidth="1"/>
    <col min="23" max="23" width="9.42578125" bestFit="1" customWidth="1"/>
    <col min="24" max="24" width="9.28515625" bestFit="1" customWidth="1"/>
    <col min="25" max="26" width="9.5703125" bestFit="1" customWidth="1"/>
  </cols>
  <sheetData>
    <row r="1" spans="1:26" x14ac:dyDescent="0.25">
      <c r="A1" s="1" t="s">
        <v>162</v>
      </c>
    </row>
    <row r="3" spans="1:26" x14ac:dyDescent="0.25">
      <c r="A3" t="s">
        <v>0</v>
      </c>
      <c r="B3" t="s">
        <v>30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</row>
    <row r="4" spans="1:26" x14ac:dyDescent="0.25">
      <c r="A4" t="s">
        <v>17</v>
      </c>
      <c r="B4" t="s">
        <v>57</v>
      </c>
      <c r="E4">
        <v>1250</v>
      </c>
      <c r="K4">
        <v>1250</v>
      </c>
      <c r="M4">
        <v>1250</v>
      </c>
      <c r="O4">
        <v>1250</v>
      </c>
    </row>
    <row r="5" spans="1:26" x14ac:dyDescent="0.25">
      <c r="A5" t="s">
        <v>21</v>
      </c>
      <c r="B5" t="s">
        <v>61</v>
      </c>
      <c r="G5">
        <v>11050</v>
      </c>
      <c r="M5">
        <v>2200</v>
      </c>
    </row>
    <row r="6" spans="1:26" x14ac:dyDescent="0.25">
      <c r="A6" t="s">
        <v>20</v>
      </c>
      <c r="B6" t="s">
        <v>61</v>
      </c>
      <c r="M6">
        <v>4820</v>
      </c>
    </row>
    <row r="7" spans="1:26" x14ac:dyDescent="0.25">
      <c r="A7" t="s">
        <v>19</v>
      </c>
      <c r="B7" t="s">
        <v>57</v>
      </c>
      <c r="H7">
        <v>550</v>
      </c>
      <c r="J7">
        <v>550</v>
      </c>
    </row>
    <row r="8" spans="1:26" x14ac:dyDescent="0.25">
      <c r="A8" t="s">
        <v>22</v>
      </c>
      <c r="B8" t="s">
        <v>61</v>
      </c>
      <c r="L8">
        <v>1320</v>
      </c>
    </row>
    <row r="9" spans="1:26" x14ac:dyDescent="0.25">
      <c r="A9" t="s">
        <v>23</v>
      </c>
      <c r="B9" t="s">
        <v>61</v>
      </c>
      <c r="N9">
        <v>500</v>
      </c>
    </row>
    <row r="10" spans="1:26" x14ac:dyDescent="0.25">
      <c r="A10" t="s">
        <v>26</v>
      </c>
      <c r="B10" t="s">
        <v>61</v>
      </c>
      <c r="O10">
        <v>500</v>
      </c>
    </row>
    <row r="11" spans="1:26" x14ac:dyDescent="0.25">
      <c r="A11" t="s">
        <v>28</v>
      </c>
      <c r="B11" t="s">
        <v>57</v>
      </c>
    </row>
    <row r="12" spans="1:26" x14ac:dyDescent="0.25">
      <c r="A12" t="s">
        <v>15</v>
      </c>
      <c r="B12" t="s">
        <v>57</v>
      </c>
      <c r="C12">
        <v>940</v>
      </c>
      <c r="E12">
        <v>2020</v>
      </c>
      <c r="G12">
        <v>2480</v>
      </c>
      <c r="J12">
        <v>1917</v>
      </c>
      <c r="K12">
        <v>1638</v>
      </c>
    </row>
    <row r="13" spans="1:26" x14ac:dyDescent="0.25">
      <c r="A13" t="s">
        <v>27</v>
      </c>
      <c r="B13" t="s">
        <v>57</v>
      </c>
    </row>
    <row r="14" spans="1:26" x14ac:dyDescent="0.25">
      <c r="A14" t="s">
        <v>24</v>
      </c>
      <c r="B14" t="s">
        <v>61</v>
      </c>
      <c r="N14">
        <v>1000</v>
      </c>
    </row>
    <row r="15" spans="1:26" x14ac:dyDescent="0.25">
      <c r="A15" t="s">
        <v>65</v>
      </c>
      <c r="B15" t="s">
        <v>57</v>
      </c>
      <c r="H15">
        <v>300</v>
      </c>
    </row>
    <row r="16" spans="1:26" x14ac:dyDescent="0.25">
      <c r="A16" t="s">
        <v>108</v>
      </c>
      <c r="B16" t="s">
        <v>61</v>
      </c>
      <c r="E16">
        <v>6200</v>
      </c>
    </row>
    <row r="17" spans="1:16" x14ac:dyDescent="0.25">
      <c r="A17" t="s">
        <v>163</v>
      </c>
      <c r="B17" t="s">
        <v>61</v>
      </c>
      <c r="G17">
        <v>780</v>
      </c>
    </row>
    <row r="18" spans="1:16" x14ac:dyDescent="0.25">
      <c r="A18" t="s">
        <v>106</v>
      </c>
      <c r="B18" t="s">
        <v>57</v>
      </c>
      <c r="D18">
        <v>900</v>
      </c>
      <c r="E18">
        <v>900</v>
      </c>
    </row>
    <row r="19" spans="1:16" x14ac:dyDescent="0.25">
      <c r="A19" t="s">
        <v>66</v>
      </c>
      <c r="B19" t="s">
        <v>61</v>
      </c>
      <c r="E19">
        <v>300</v>
      </c>
    </row>
    <row r="20" spans="1:16" x14ac:dyDescent="0.25">
      <c r="A20" t="s">
        <v>164</v>
      </c>
      <c r="B20" t="s">
        <v>61</v>
      </c>
      <c r="K20">
        <v>1980</v>
      </c>
    </row>
    <row r="21" spans="1:16" x14ac:dyDescent="0.25">
      <c r="A21" t="s">
        <v>165</v>
      </c>
      <c r="B21" t="s">
        <v>61</v>
      </c>
      <c r="I21">
        <v>270</v>
      </c>
    </row>
    <row r="22" spans="1:16" x14ac:dyDescent="0.25">
      <c r="A22" t="s">
        <v>166</v>
      </c>
      <c r="B22" t="s">
        <v>61</v>
      </c>
      <c r="P22">
        <v>2100</v>
      </c>
    </row>
    <row r="23" spans="1:16" x14ac:dyDescent="0.25">
      <c r="A23" t="s">
        <v>105</v>
      </c>
      <c r="B23" t="s">
        <v>57</v>
      </c>
      <c r="J23">
        <v>2325</v>
      </c>
      <c r="N23">
        <v>2325</v>
      </c>
      <c r="O23">
        <v>2325</v>
      </c>
      <c r="P23">
        <v>2325</v>
      </c>
    </row>
    <row r="24" spans="1:16" x14ac:dyDescent="0.25">
      <c r="A24" t="s">
        <v>167</v>
      </c>
      <c r="B24" t="s">
        <v>57</v>
      </c>
      <c r="K24">
        <v>1600</v>
      </c>
      <c r="N24">
        <v>1600</v>
      </c>
    </row>
    <row r="25" spans="1:16" x14ac:dyDescent="0.25">
      <c r="A25" t="s">
        <v>168</v>
      </c>
      <c r="B25" t="s">
        <v>57</v>
      </c>
    </row>
    <row r="26" spans="1:16" x14ac:dyDescent="0.25">
      <c r="A26" t="s">
        <v>169</v>
      </c>
      <c r="B26" t="s">
        <v>61</v>
      </c>
      <c r="L26">
        <v>1740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35C8-5377-4011-8168-E46E71521E14}">
  <dimension ref="A1:D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9" sqref="A19"/>
    </sheetView>
  </sheetViews>
  <sheetFormatPr defaultRowHeight="15" x14ac:dyDescent="0.25"/>
  <cols>
    <col min="2" max="2" width="35.85546875" customWidth="1"/>
    <col min="3" max="3" width="11.5703125" bestFit="1" customWidth="1"/>
    <col min="4" max="4" width="45.140625" bestFit="1" customWidth="1"/>
  </cols>
  <sheetData>
    <row r="1" spans="1:4" x14ac:dyDescent="0.25">
      <c r="A1" t="s">
        <v>170</v>
      </c>
      <c r="B1" t="s">
        <v>171</v>
      </c>
      <c r="C1" t="s">
        <v>172</v>
      </c>
      <c r="D1" t="s">
        <v>173</v>
      </c>
    </row>
    <row r="2" spans="1:4" x14ac:dyDescent="0.25">
      <c r="A2" s="28" t="s">
        <v>174</v>
      </c>
      <c r="B2" s="28" t="s">
        <v>175</v>
      </c>
      <c r="C2" s="30">
        <v>6600</v>
      </c>
      <c r="D2" s="28" t="s">
        <v>176</v>
      </c>
    </row>
    <row r="3" spans="1:4" x14ac:dyDescent="0.25">
      <c r="A3" s="28" t="s">
        <v>174</v>
      </c>
      <c r="B3" s="28" t="s">
        <v>177</v>
      </c>
      <c r="C3" s="30">
        <v>3000</v>
      </c>
      <c r="D3" s="28" t="s">
        <v>178</v>
      </c>
    </row>
    <row r="4" spans="1:4" x14ac:dyDescent="0.25">
      <c r="A4" s="28" t="s">
        <v>179</v>
      </c>
      <c r="B4" s="28" t="s">
        <v>180</v>
      </c>
      <c r="C4" s="30">
        <v>1600</v>
      </c>
      <c r="D4" s="28" t="s">
        <v>181</v>
      </c>
    </row>
    <row r="5" spans="1:4" x14ac:dyDescent="0.25">
      <c r="A5" s="28" t="s">
        <v>174</v>
      </c>
      <c r="B5" s="28" t="s">
        <v>182</v>
      </c>
      <c r="C5" s="30">
        <v>7000</v>
      </c>
      <c r="D5" s="28" t="s">
        <v>183</v>
      </c>
    </row>
    <row r="6" spans="1:4" x14ac:dyDescent="0.25">
      <c r="A6" s="28" t="s">
        <v>184</v>
      </c>
      <c r="B6" s="28" t="s">
        <v>185</v>
      </c>
      <c r="C6" s="30">
        <v>13000</v>
      </c>
      <c r="D6" s="28" t="s">
        <v>186</v>
      </c>
    </row>
    <row r="7" spans="1:4" x14ac:dyDescent="0.25">
      <c r="A7" s="28" t="s">
        <v>187</v>
      </c>
      <c r="B7" s="28" t="s">
        <v>188</v>
      </c>
      <c r="C7" s="30">
        <v>10250</v>
      </c>
      <c r="D7" s="28" t="s">
        <v>189</v>
      </c>
    </row>
    <row r="8" spans="1:4" x14ac:dyDescent="0.25">
      <c r="A8" t="s">
        <v>190</v>
      </c>
      <c r="B8" t="s">
        <v>191</v>
      </c>
      <c r="C8" s="2">
        <f>5200+1200+1000</f>
        <v>7400</v>
      </c>
      <c r="D8" t="s">
        <v>192</v>
      </c>
    </row>
    <row r="9" spans="1:4" x14ac:dyDescent="0.25">
      <c r="A9" t="s">
        <v>193</v>
      </c>
      <c r="B9" t="s">
        <v>194</v>
      </c>
      <c r="C9" s="2">
        <v>1500</v>
      </c>
    </row>
    <row r="10" spans="1:4" x14ac:dyDescent="0.25">
      <c r="B10" t="s">
        <v>195</v>
      </c>
      <c r="C10" s="2">
        <v>20000</v>
      </c>
      <c r="D10" t="s">
        <v>196</v>
      </c>
    </row>
    <row r="11" spans="1:4" x14ac:dyDescent="0.25">
      <c r="C11" s="2"/>
    </row>
    <row r="12" spans="1:4" x14ac:dyDescent="0.25">
      <c r="A12" t="s">
        <v>261</v>
      </c>
      <c r="B12" t="s">
        <v>262</v>
      </c>
      <c r="C12" s="2"/>
    </row>
    <row r="16" spans="1:4" x14ac:dyDescent="0.25">
      <c r="C16" s="5">
        <f>SUM(Table3[FEE])</f>
        <v>70350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9108-B54E-4158-A2DC-5518EDC68950}">
  <dimension ref="A1:AA57"/>
  <sheetViews>
    <sheetView workbookViewId="0">
      <selection activeCell="F14" sqref="F14"/>
    </sheetView>
  </sheetViews>
  <sheetFormatPr defaultRowHeight="15" x14ac:dyDescent="0.25"/>
  <cols>
    <col min="1" max="1" width="29.7109375" bestFit="1" customWidth="1"/>
    <col min="2" max="2" width="11.7109375" bestFit="1" customWidth="1"/>
    <col min="3" max="7" width="9.28515625" bestFit="1" customWidth="1"/>
    <col min="8" max="8" width="9.5703125" bestFit="1" customWidth="1"/>
    <col min="9" max="11" width="9.28515625" bestFit="1" customWidth="1"/>
    <col min="12" max="12" width="9.42578125" bestFit="1" customWidth="1"/>
    <col min="13" max="13" width="9.28515625" bestFit="1" customWidth="1"/>
    <col min="14" max="15" width="9.5703125" bestFit="1" customWidth="1"/>
    <col min="16" max="19" width="9.28515625" bestFit="1" customWidth="1"/>
    <col min="20" max="20" width="9.7109375" bestFit="1" customWidth="1"/>
    <col min="21" max="23" width="9.28515625" bestFit="1" customWidth="1"/>
    <col min="24" max="24" width="9.42578125" bestFit="1" customWidth="1"/>
    <col min="25" max="25" width="9.28515625" bestFit="1" customWidth="1"/>
    <col min="26" max="27" width="9.5703125" bestFit="1" customWidth="1"/>
  </cols>
  <sheetData>
    <row r="1" spans="1:27" x14ac:dyDescent="0.25">
      <c r="A1" s="1" t="s">
        <v>197</v>
      </c>
    </row>
    <row r="3" spans="1:27" x14ac:dyDescent="0.25">
      <c r="A3" t="s">
        <v>0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</row>
    <row r="4" spans="1:27" x14ac:dyDescent="0.25">
      <c r="A4" t="s">
        <v>19</v>
      </c>
      <c r="B4" t="s">
        <v>57</v>
      </c>
      <c r="C4" t="s">
        <v>63</v>
      </c>
      <c r="I4">
        <v>550</v>
      </c>
      <c r="K4">
        <v>550</v>
      </c>
    </row>
    <row r="5" spans="1:27" x14ac:dyDescent="0.25">
      <c r="A5" t="s">
        <v>17</v>
      </c>
      <c r="B5" t="s">
        <v>57</v>
      </c>
      <c r="C5" t="s">
        <v>63</v>
      </c>
      <c r="F5">
        <v>1250</v>
      </c>
      <c r="L5">
        <v>1250</v>
      </c>
      <c r="N5">
        <v>1250</v>
      </c>
      <c r="U5">
        <v>1250</v>
      </c>
    </row>
    <row r="6" spans="1:27" x14ac:dyDescent="0.25">
      <c r="A6" t="s">
        <v>15</v>
      </c>
      <c r="B6" t="s">
        <v>57</v>
      </c>
      <c r="C6" t="s">
        <v>58</v>
      </c>
      <c r="D6">
        <v>940</v>
      </c>
      <c r="F6">
        <v>2020</v>
      </c>
      <c r="H6">
        <v>2480</v>
      </c>
      <c r="K6">
        <v>1917</v>
      </c>
      <c r="L6">
        <v>1638</v>
      </c>
      <c r="O6">
        <v>640.00000000000011</v>
      </c>
      <c r="P6">
        <v>640</v>
      </c>
      <c r="Q6">
        <v>1160</v>
      </c>
      <c r="S6">
        <v>2099.87</v>
      </c>
      <c r="U6">
        <v>1260</v>
      </c>
      <c r="W6">
        <v>1100</v>
      </c>
    </row>
    <row r="7" spans="1:27" x14ac:dyDescent="0.25">
      <c r="A7" t="s">
        <v>65</v>
      </c>
      <c r="B7" t="s">
        <v>57</v>
      </c>
      <c r="C7" t="s">
        <v>63</v>
      </c>
      <c r="I7">
        <v>300</v>
      </c>
    </row>
    <row r="8" spans="1:27" x14ac:dyDescent="0.25">
      <c r="A8" t="s">
        <v>108</v>
      </c>
      <c r="B8" t="s">
        <v>61</v>
      </c>
      <c r="C8" t="s">
        <v>63</v>
      </c>
      <c r="F8">
        <v>6200</v>
      </c>
    </row>
    <row r="9" spans="1:27" x14ac:dyDescent="0.25">
      <c r="A9" t="s">
        <v>106</v>
      </c>
      <c r="B9" t="s">
        <v>57</v>
      </c>
      <c r="C9" t="s">
        <v>63</v>
      </c>
      <c r="E9">
        <v>900</v>
      </c>
      <c r="F9">
        <v>900</v>
      </c>
    </row>
    <row r="10" spans="1:27" x14ac:dyDescent="0.25">
      <c r="A10" t="s">
        <v>66</v>
      </c>
      <c r="B10" t="s">
        <v>61</v>
      </c>
      <c r="C10" t="s">
        <v>63</v>
      </c>
      <c r="F10">
        <v>300</v>
      </c>
    </row>
    <row r="11" spans="1:27" x14ac:dyDescent="0.25">
      <c r="A11" t="s">
        <v>105</v>
      </c>
      <c r="B11" t="s">
        <v>57</v>
      </c>
      <c r="C11" t="s">
        <v>58</v>
      </c>
      <c r="K11">
        <v>2325</v>
      </c>
      <c r="W11">
        <v>2325</v>
      </c>
      <c r="Y11">
        <v>2325</v>
      </c>
      <c r="AA11">
        <v>2325</v>
      </c>
    </row>
    <row r="12" spans="1:27" x14ac:dyDescent="0.25">
      <c r="A12" t="s">
        <v>62</v>
      </c>
      <c r="B12" t="s">
        <v>57</v>
      </c>
      <c r="C12" t="s">
        <v>63</v>
      </c>
      <c r="R12">
        <v>560</v>
      </c>
    </row>
    <row r="13" spans="1:27" x14ac:dyDescent="0.25">
      <c r="A13" t="s">
        <v>64</v>
      </c>
      <c r="B13" t="s">
        <v>61</v>
      </c>
      <c r="C13" t="s">
        <v>63</v>
      </c>
      <c r="R13">
        <v>160</v>
      </c>
    </row>
    <row r="14" spans="1:27" x14ac:dyDescent="0.25">
      <c r="A14" t="s">
        <v>76</v>
      </c>
      <c r="B14" t="s">
        <v>61</v>
      </c>
      <c r="C14" t="s">
        <v>63</v>
      </c>
      <c r="R14">
        <v>210</v>
      </c>
    </row>
    <row r="15" spans="1:27" x14ac:dyDescent="0.25">
      <c r="A15" t="s">
        <v>67</v>
      </c>
      <c r="B15" t="s">
        <v>61</v>
      </c>
      <c r="C15" t="s">
        <v>63</v>
      </c>
      <c r="L15">
        <v>1980</v>
      </c>
      <c r="R15">
        <v>180</v>
      </c>
    </row>
    <row r="16" spans="1:27" x14ac:dyDescent="0.25">
      <c r="A16" t="s">
        <v>78</v>
      </c>
      <c r="B16" t="s">
        <v>61</v>
      </c>
      <c r="C16" t="s">
        <v>63</v>
      </c>
      <c r="H16">
        <v>11050</v>
      </c>
      <c r="P16">
        <v>3700</v>
      </c>
    </row>
    <row r="17" spans="1:27" x14ac:dyDescent="0.25">
      <c r="A17" t="s">
        <v>79</v>
      </c>
      <c r="B17" t="s">
        <v>61</v>
      </c>
      <c r="C17" t="s">
        <v>63</v>
      </c>
      <c r="H17">
        <v>780</v>
      </c>
      <c r="R17">
        <v>210</v>
      </c>
    </row>
    <row r="18" spans="1:27" x14ac:dyDescent="0.25">
      <c r="A18" t="s">
        <v>80</v>
      </c>
      <c r="B18" t="s">
        <v>61</v>
      </c>
      <c r="C18" t="s">
        <v>63</v>
      </c>
      <c r="N18">
        <v>1320</v>
      </c>
    </row>
    <row r="19" spans="1:27" x14ac:dyDescent="0.25">
      <c r="A19" t="s">
        <v>83</v>
      </c>
      <c r="B19" t="s">
        <v>61</v>
      </c>
      <c r="C19" t="s">
        <v>63</v>
      </c>
      <c r="S19">
        <v>480</v>
      </c>
    </row>
    <row r="20" spans="1:27" x14ac:dyDescent="0.25">
      <c r="A20" t="s">
        <v>84</v>
      </c>
      <c r="B20" t="s">
        <v>61</v>
      </c>
      <c r="C20" t="s">
        <v>58</v>
      </c>
      <c r="X20">
        <v>4000</v>
      </c>
      <c r="Y20">
        <v>4000</v>
      </c>
      <c r="AA20">
        <v>4000</v>
      </c>
    </row>
    <row r="21" spans="1:27" x14ac:dyDescent="0.25">
      <c r="A21" t="s">
        <v>85</v>
      </c>
      <c r="B21" t="s">
        <v>61</v>
      </c>
      <c r="C21" t="s">
        <v>63</v>
      </c>
      <c r="J21">
        <v>270</v>
      </c>
    </row>
    <row r="22" spans="1:27" x14ac:dyDescent="0.25">
      <c r="A22" t="s">
        <v>87</v>
      </c>
      <c r="B22" t="s">
        <v>61</v>
      </c>
      <c r="C22" t="s">
        <v>63</v>
      </c>
      <c r="R22">
        <v>4140</v>
      </c>
    </row>
    <row r="23" spans="1:27" x14ac:dyDescent="0.25">
      <c r="A23" t="s">
        <v>81</v>
      </c>
      <c r="B23" t="s">
        <v>61</v>
      </c>
      <c r="C23" t="s">
        <v>63</v>
      </c>
      <c r="N23">
        <v>1740</v>
      </c>
      <c r="R23">
        <v>210</v>
      </c>
    </row>
    <row r="24" spans="1:27" x14ac:dyDescent="0.25">
      <c r="A24" t="s">
        <v>86</v>
      </c>
      <c r="B24" t="s">
        <v>61</v>
      </c>
      <c r="C24" t="s">
        <v>63</v>
      </c>
      <c r="R24">
        <v>690</v>
      </c>
    </row>
    <row r="25" spans="1:27" x14ac:dyDescent="0.25">
      <c r="A25" t="s">
        <v>56</v>
      </c>
      <c r="B25" t="s">
        <v>57</v>
      </c>
      <c r="C25" t="s">
        <v>58</v>
      </c>
      <c r="E25">
        <v>160</v>
      </c>
    </row>
    <row r="26" spans="1:27" x14ac:dyDescent="0.25">
      <c r="A26" t="s">
        <v>82</v>
      </c>
      <c r="B26" t="s">
        <v>61</v>
      </c>
      <c r="C26" t="s">
        <v>63</v>
      </c>
      <c r="S26">
        <v>840</v>
      </c>
    </row>
    <row r="27" spans="1:27" x14ac:dyDescent="0.25">
      <c r="A27" t="s">
        <v>72</v>
      </c>
      <c r="B27" t="s">
        <v>61</v>
      </c>
      <c r="C27" t="s">
        <v>63</v>
      </c>
      <c r="T27">
        <v>8220</v>
      </c>
    </row>
    <row r="28" spans="1:27" x14ac:dyDescent="0.25">
      <c r="A28" t="s">
        <v>70</v>
      </c>
      <c r="B28" t="s">
        <v>61</v>
      </c>
      <c r="C28" t="s">
        <v>58</v>
      </c>
      <c r="X28">
        <v>1980</v>
      </c>
    </row>
    <row r="29" spans="1:27" x14ac:dyDescent="0.25">
      <c r="A29" t="s">
        <v>71</v>
      </c>
      <c r="B29" t="s">
        <v>61</v>
      </c>
      <c r="C29" t="s">
        <v>58</v>
      </c>
    </row>
    <row r="30" spans="1:27" x14ac:dyDescent="0.25">
      <c r="A30" t="s">
        <v>91</v>
      </c>
      <c r="B30" t="s">
        <v>61</v>
      </c>
      <c r="C30" t="s">
        <v>63</v>
      </c>
      <c r="S30">
        <v>300</v>
      </c>
    </row>
    <row r="31" spans="1:27" x14ac:dyDescent="0.25">
      <c r="A31" t="s">
        <v>77</v>
      </c>
      <c r="B31" t="s">
        <v>61</v>
      </c>
      <c r="C31" t="s">
        <v>58</v>
      </c>
      <c r="S31">
        <v>3030</v>
      </c>
      <c r="X31">
        <v>390</v>
      </c>
    </row>
    <row r="32" spans="1:27" x14ac:dyDescent="0.25">
      <c r="A32" t="s">
        <v>90</v>
      </c>
      <c r="B32" t="s">
        <v>61</v>
      </c>
      <c r="C32" t="s">
        <v>63</v>
      </c>
    </row>
    <row r="33" spans="1:27" x14ac:dyDescent="0.25">
      <c r="A33" t="s">
        <v>69</v>
      </c>
      <c r="B33" t="s">
        <v>61</v>
      </c>
      <c r="C33" t="s">
        <v>58</v>
      </c>
      <c r="Z33">
        <v>1350</v>
      </c>
    </row>
    <row r="34" spans="1:27" x14ac:dyDescent="0.25">
      <c r="A34" t="s">
        <v>107</v>
      </c>
      <c r="B34" t="s">
        <v>57</v>
      </c>
      <c r="C34" t="s">
        <v>63</v>
      </c>
      <c r="V34">
        <v>660</v>
      </c>
    </row>
    <row r="35" spans="1:27" x14ac:dyDescent="0.25">
      <c r="A35" t="s">
        <v>73</v>
      </c>
      <c r="B35" t="s">
        <v>74</v>
      </c>
      <c r="C35" t="s">
        <v>58</v>
      </c>
      <c r="W35">
        <v>5673.56</v>
      </c>
      <c r="X35">
        <v>4572.3099999999995</v>
      </c>
    </row>
    <row r="36" spans="1:27" x14ac:dyDescent="0.25">
      <c r="A36" t="s">
        <v>73</v>
      </c>
      <c r="B36" t="s">
        <v>61</v>
      </c>
      <c r="C36" t="s">
        <v>58</v>
      </c>
      <c r="T36" t="s">
        <v>75</v>
      </c>
      <c r="Y36">
        <v>2500</v>
      </c>
    </row>
    <row r="37" spans="1:27" x14ac:dyDescent="0.25">
      <c r="A37" t="s">
        <v>60</v>
      </c>
      <c r="B37" t="s">
        <v>61</v>
      </c>
      <c r="C37" t="s">
        <v>58</v>
      </c>
      <c r="X37">
        <v>100</v>
      </c>
    </row>
    <row r="38" spans="1:27" x14ac:dyDescent="0.25">
      <c r="A38" t="s">
        <v>59</v>
      </c>
      <c r="B38" t="s">
        <v>57</v>
      </c>
      <c r="C38" t="s">
        <v>58</v>
      </c>
      <c r="X38">
        <v>200</v>
      </c>
    </row>
    <row r="39" spans="1:27" x14ac:dyDescent="0.25">
      <c r="A39" t="s">
        <v>104</v>
      </c>
      <c r="B39" t="s">
        <v>57</v>
      </c>
      <c r="C39" t="s">
        <v>63</v>
      </c>
      <c r="T39">
        <v>425</v>
      </c>
      <c r="U39">
        <v>425</v>
      </c>
    </row>
    <row r="40" spans="1:27" x14ac:dyDescent="0.25">
      <c r="A40" t="s">
        <v>103</v>
      </c>
      <c r="B40" t="s">
        <v>57</v>
      </c>
      <c r="C40" t="s">
        <v>58</v>
      </c>
      <c r="S40">
        <v>1212.5</v>
      </c>
      <c r="W40">
        <v>1212.5</v>
      </c>
      <c r="X40">
        <v>1212.5</v>
      </c>
      <c r="Y40">
        <v>1212.5</v>
      </c>
    </row>
    <row r="41" spans="1:27" x14ac:dyDescent="0.25">
      <c r="A41" t="s">
        <v>98</v>
      </c>
      <c r="B41" t="s">
        <v>57</v>
      </c>
      <c r="C41" t="s">
        <v>58</v>
      </c>
      <c r="S41">
        <v>240</v>
      </c>
      <c r="T41">
        <v>1402.5</v>
      </c>
      <c r="X41">
        <v>1402.5</v>
      </c>
      <c r="Y41">
        <v>1402.5</v>
      </c>
      <c r="Z41">
        <v>1402.5</v>
      </c>
    </row>
    <row r="42" spans="1:27" x14ac:dyDescent="0.25">
      <c r="A42" t="s">
        <v>99</v>
      </c>
      <c r="B42" t="s">
        <v>57</v>
      </c>
      <c r="C42" t="s">
        <v>58</v>
      </c>
      <c r="L42">
        <v>1600</v>
      </c>
      <c r="X42">
        <v>1600</v>
      </c>
    </row>
    <row r="43" spans="1:27" x14ac:dyDescent="0.25">
      <c r="A43" t="s">
        <v>198</v>
      </c>
      <c r="B43" t="s">
        <v>57</v>
      </c>
      <c r="C43" t="s">
        <v>58</v>
      </c>
      <c r="U43">
        <v>740</v>
      </c>
      <c r="W43">
        <v>750</v>
      </c>
      <c r="X43">
        <v>750</v>
      </c>
    </row>
    <row r="44" spans="1:27" x14ac:dyDescent="0.25">
      <c r="A44" t="s">
        <v>88</v>
      </c>
      <c r="B44" t="s">
        <v>74</v>
      </c>
      <c r="C44" t="s">
        <v>58</v>
      </c>
      <c r="Y44">
        <v>1200</v>
      </c>
    </row>
    <row r="45" spans="1:27" x14ac:dyDescent="0.25">
      <c r="A45" t="s">
        <v>89</v>
      </c>
      <c r="B45" t="s">
        <v>74</v>
      </c>
      <c r="C45" t="s">
        <v>63</v>
      </c>
      <c r="V45">
        <v>1568.58</v>
      </c>
    </row>
    <row r="46" spans="1:27" x14ac:dyDescent="0.25">
      <c r="A46" t="s">
        <v>97</v>
      </c>
      <c r="B46" t="s">
        <v>57</v>
      </c>
      <c r="C46" t="s">
        <v>58</v>
      </c>
      <c r="V46">
        <v>975</v>
      </c>
      <c r="X46">
        <v>975</v>
      </c>
    </row>
    <row r="47" spans="1:27" x14ac:dyDescent="0.25">
      <c r="A47" t="s">
        <v>101</v>
      </c>
      <c r="B47" t="s">
        <v>57</v>
      </c>
      <c r="C47" t="s">
        <v>58</v>
      </c>
      <c r="V47">
        <v>3500</v>
      </c>
      <c r="Y47">
        <v>3500</v>
      </c>
      <c r="Z47">
        <v>3500</v>
      </c>
      <c r="AA47">
        <v>3500</v>
      </c>
    </row>
    <row r="48" spans="1:27" x14ac:dyDescent="0.25">
      <c r="A48" t="s">
        <v>95</v>
      </c>
      <c r="B48" t="s">
        <v>57</v>
      </c>
      <c r="C48" t="s">
        <v>58</v>
      </c>
      <c r="U48">
        <v>1000</v>
      </c>
      <c r="X48">
        <v>1384</v>
      </c>
    </row>
    <row r="49" spans="1:27" x14ac:dyDescent="0.25">
      <c r="A49" t="s">
        <v>102</v>
      </c>
      <c r="B49" t="s">
        <v>61</v>
      </c>
      <c r="C49" t="s">
        <v>63</v>
      </c>
      <c r="V49">
        <v>1200</v>
      </c>
    </row>
    <row r="50" spans="1:27" x14ac:dyDescent="0.25">
      <c r="A50" t="s">
        <v>100</v>
      </c>
      <c r="B50" t="s">
        <v>57</v>
      </c>
      <c r="C50" t="s">
        <v>58</v>
      </c>
      <c r="W50">
        <v>1687.5</v>
      </c>
      <c r="Y50">
        <v>1687.5</v>
      </c>
      <c r="AA50">
        <v>1687.5</v>
      </c>
    </row>
    <row r="51" spans="1:27" x14ac:dyDescent="0.25">
      <c r="A51" t="s">
        <v>94</v>
      </c>
      <c r="B51" t="s">
        <v>61</v>
      </c>
      <c r="C51" t="s">
        <v>58</v>
      </c>
      <c r="X51">
        <v>240</v>
      </c>
    </row>
    <row r="52" spans="1:27" x14ac:dyDescent="0.25">
      <c r="A52" t="s">
        <v>199</v>
      </c>
      <c r="B52" t="s">
        <v>61</v>
      </c>
      <c r="C52" t="s">
        <v>58</v>
      </c>
      <c r="X52">
        <v>240</v>
      </c>
    </row>
    <row r="53" spans="1:27" x14ac:dyDescent="0.25">
      <c r="A53" t="s">
        <v>93</v>
      </c>
      <c r="B53" t="s">
        <v>57</v>
      </c>
      <c r="C53" t="s">
        <v>58</v>
      </c>
      <c r="X53">
        <v>360</v>
      </c>
    </row>
    <row r="54" spans="1:27" x14ac:dyDescent="0.25">
      <c r="A54" t="s">
        <v>68</v>
      </c>
      <c r="B54" t="s">
        <v>61</v>
      </c>
      <c r="C54" t="s">
        <v>58</v>
      </c>
    </row>
    <row r="55" spans="1:27" x14ac:dyDescent="0.25">
      <c r="A55" t="s">
        <v>109</v>
      </c>
      <c r="B55" t="s">
        <v>74</v>
      </c>
      <c r="C55" t="s">
        <v>58</v>
      </c>
      <c r="X55">
        <v>5960.38</v>
      </c>
    </row>
    <row r="56" spans="1:27" x14ac:dyDescent="0.25">
      <c r="A56" t="s">
        <v>109</v>
      </c>
      <c r="B56" t="s">
        <v>61</v>
      </c>
      <c r="C56" t="s">
        <v>58</v>
      </c>
    </row>
    <row r="57" spans="1:27" x14ac:dyDescent="0.25">
      <c r="A57" t="s">
        <v>200</v>
      </c>
      <c r="B57" t="s">
        <v>61</v>
      </c>
      <c r="C57" t="s">
        <v>58</v>
      </c>
      <c r="X57">
        <v>2000</v>
      </c>
      <c r="Z57">
        <v>2000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04E916-DCF5-49CA-8F05-1B925F65CE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INPUT</vt:lpstr>
      <vt:lpstr>2025 - Breakdown</vt:lpstr>
      <vt:lpstr>2025 Summary</vt:lpstr>
      <vt:lpstr>2024 - Breakdown</vt:lpstr>
      <vt:lpstr>2024 Summary</vt:lpstr>
      <vt:lpstr>2026 - Breakdown</vt:lpstr>
      <vt:lpstr>2026 Summary</vt:lpstr>
      <vt:lpstr>YOY Comparison</vt:lpstr>
      <vt:lpstr>Detail1</vt:lpstr>
      <vt:lpstr>SOW Sent</vt:lpstr>
      <vt:lpstr>Detail2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Oliveti Below the Trusses</dc:creator>
  <cp:keywords/>
  <dc:description/>
  <cp:lastModifiedBy>Amy Oliveti Below the Trusses</cp:lastModifiedBy>
  <cp:revision/>
  <dcterms:created xsi:type="dcterms:W3CDTF">2024-07-12T12:22:28Z</dcterms:created>
  <dcterms:modified xsi:type="dcterms:W3CDTF">2026-08-02T20:35:41Z</dcterms:modified>
  <cp:category/>
  <cp:contentStatus/>
</cp:coreProperties>
</file>